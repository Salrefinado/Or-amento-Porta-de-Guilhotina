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Bunese\"/>
    </mc:Choice>
  </mc:AlternateContent>
  <xr:revisionPtr revIDLastSave="0" documentId="13_ncr:1_{0E9AFF3E-FC04-43C4-B139-952A5A241EE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orta Guilhotina" sheetId="1" r:id="rId1"/>
    <sheet name="Simples" sheetId="2" state="veryHidden" r:id="rId2"/>
    <sheet name="Em L Esquerda" sheetId="3" state="veryHidden" r:id="rId3"/>
    <sheet name="Em L Direita" sheetId="4" state="veryHidden" r:id="rId4"/>
    <sheet name="Em U" sheetId="5" r:id="rId5"/>
  </sheets>
  <definedNames>
    <definedName name="_xlpm.alturaBoca">#NAME?</definedName>
    <definedName name="_xlpm.alturaTotal">#NAME?</definedName>
    <definedName name="_xlpm.espaco">#NAME?</definedName>
    <definedName name="_xlpm.largura">#NAME?</definedName>
    <definedName name="_xlpm.medidaEmL">#NAME?</definedName>
    <definedName name="_xlpm.medidaEmU">#NAME?</definedName>
    <definedName name="_xlpm.medidaSimples">#NAME?</definedName>
    <definedName name="_xlpm.pecas">#NAME?</definedName>
    <definedName name="_xlpm.profundidade">#NAME?</definedName>
    <definedName name="_xlpm.resultadoEmL">#NAME?</definedName>
    <definedName name="_xlpm.resultadoEmU">#NAME?</definedName>
    <definedName name="_xlpm.resultadoSimples">#NAME?</definedName>
    <definedName name="_xlpm.tipo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0" roundtripDataChecksum="6y/QgcRjwaAKWwCiC6HyoFqvcM59Ye8d9WapTUMqjsg="/>
    </ext>
  </extLst>
</workbook>
</file>

<file path=xl/calcChain.xml><?xml version="1.0" encoding="utf-8"?>
<calcChain xmlns="http://schemas.openxmlformats.org/spreadsheetml/2006/main">
  <c r="C31" i="5" l="1"/>
  <c r="A31" i="5"/>
  <c r="C20" i="5"/>
  <c r="C9" i="5"/>
  <c r="A9" i="5"/>
  <c r="C2" i="5"/>
  <c r="A2" i="5"/>
  <c r="C29" i="4"/>
  <c r="A26" i="4"/>
  <c r="C20" i="4"/>
  <c r="C9" i="4"/>
  <c r="A9" i="4"/>
  <c r="C2" i="4"/>
  <c r="A2" i="4"/>
  <c r="A30" i="3"/>
  <c r="C28" i="3"/>
  <c r="C19" i="3"/>
  <c r="C9" i="3"/>
  <c r="A9" i="3"/>
  <c r="C2" i="3"/>
  <c r="A2" i="3"/>
  <c r="B29" i="2"/>
  <c r="A19" i="2"/>
  <c r="C8" i="2"/>
  <c r="A8" i="2"/>
  <c r="C2" i="2"/>
  <c r="A2" i="2"/>
  <c r="B21" i="1"/>
  <c r="B20" i="1"/>
  <c r="B18" i="1"/>
  <c r="G22" i="3" s="1"/>
  <c r="B17" i="1"/>
  <c r="G28" i="5" s="1"/>
  <c r="B15" i="1"/>
  <c r="G7" i="4" s="1"/>
  <c r="B14" i="1"/>
  <c r="D15" i="5" s="1"/>
  <c r="K8" i="1"/>
  <c r="J8" i="1"/>
  <c r="C3" i="2" s="1"/>
  <c r="I8" i="1"/>
  <c r="C7" i="4" s="1"/>
  <c r="H8" i="1"/>
  <c r="C5" i="5" s="1"/>
  <c r="G8" i="1"/>
  <c r="C3" i="5" s="1"/>
  <c r="F8" i="1"/>
  <c r="C6" i="5" s="1"/>
  <c r="E8" i="1"/>
  <c r="C8" i="4" s="1"/>
  <c r="D8" i="1"/>
  <c r="C4" i="5" s="1"/>
  <c r="K4" i="1"/>
  <c r="K6" i="1" s="1"/>
  <c r="J4" i="1"/>
  <c r="J6" i="1" s="1"/>
  <c r="I4" i="1"/>
  <c r="I6" i="1" s="1"/>
  <c r="H4" i="1"/>
  <c r="H6" i="1" s="1"/>
  <c r="G4" i="1"/>
  <c r="G6" i="1" s="1"/>
  <c r="F4" i="1"/>
  <c r="F6" i="1" s="1"/>
  <c r="E4" i="1"/>
  <c r="E6" i="1" s="1"/>
  <c r="D4" i="1"/>
  <c r="D6" i="1" s="1"/>
  <c r="D15" i="4" l="1"/>
  <c r="D10" i="1"/>
  <c r="C7" i="5"/>
  <c r="C7" i="2"/>
  <c r="L4" i="1"/>
  <c r="L6" i="1" s="1"/>
  <c r="G7" i="5"/>
  <c r="C4" i="2"/>
  <c r="C5" i="3"/>
  <c r="G23" i="4"/>
  <c r="C8" i="5"/>
  <c r="C5" i="2"/>
  <c r="C7" i="3"/>
  <c r="C3" i="4"/>
  <c r="C6" i="2"/>
  <c r="G7" i="3"/>
  <c r="C4" i="4"/>
  <c r="E28" i="4"/>
  <c r="C6" i="4"/>
  <c r="D14" i="3"/>
  <c r="F23" i="5"/>
  <c r="C5" i="4"/>
  <c r="G12" i="2"/>
  <c r="I23" i="5"/>
  <c r="D28" i="5"/>
  <c r="D19" i="2"/>
  <c r="E27" i="3"/>
</calcChain>
</file>

<file path=xl/sharedStrings.xml><?xml version="1.0" encoding="utf-8"?>
<sst xmlns="http://schemas.openxmlformats.org/spreadsheetml/2006/main" count="81" uniqueCount="49">
  <si>
    <t>Especificações</t>
  </si>
  <si>
    <t>Valor</t>
  </si>
  <si>
    <t>Metalon Galvanizado 4x4</t>
  </si>
  <si>
    <t>Metalon Galvanizado 4x2</t>
  </si>
  <si>
    <t>Metalon Galvanizado 3x2</t>
  </si>
  <si>
    <t>Metalon Inox 4x4</t>
  </si>
  <si>
    <t>Metalon Inox 3x2</t>
  </si>
  <si>
    <t>Baguete Inox 1.5x1.5</t>
  </si>
  <si>
    <t>Metalon Inox 4x2</t>
  </si>
  <si>
    <t>Placa Cimentícia/m²</t>
  </si>
  <si>
    <t>Vidro</t>
  </si>
  <si>
    <t>Orçamento</t>
  </si>
  <si>
    <t>Valor do metro</t>
  </si>
  <si>
    <t>Nome do Cliente</t>
  </si>
  <si>
    <t>Tipo da Porta</t>
  </si>
  <si>
    <t xml:space="preserve">Metros </t>
  </si>
  <si>
    <t>Altura Total (cm)</t>
  </si>
  <si>
    <t>Largura da Porta (cm)</t>
  </si>
  <si>
    <t>Custo parcial</t>
  </si>
  <si>
    <t>Profundidade Total (cm)</t>
  </si>
  <si>
    <t>Altura da Boca (cm)</t>
  </si>
  <si>
    <t>Medidas</t>
  </si>
  <si>
    <t>Entrada da placa no gesso (cm)</t>
  </si>
  <si>
    <t>Pedra instalada</t>
  </si>
  <si>
    <t>Não</t>
  </si>
  <si>
    <t>Valor Total</t>
  </si>
  <si>
    <t>Altura fixa do metalon inox 4x4 (cm)</t>
  </si>
  <si>
    <t>Fechamento em Vidro</t>
  </si>
  <si>
    <t>Sim</t>
  </si>
  <si>
    <t>Vidro Guilhotina</t>
  </si>
  <si>
    <t>Altura do vidro(cm)</t>
  </si>
  <si>
    <t>Largura do vidro(cm)</t>
  </si>
  <si>
    <t>Vidro Lateral</t>
  </si>
  <si>
    <t>Altura Vidro Lateral em L</t>
  </si>
  <si>
    <t>Largura Vidro Lateral em L</t>
  </si>
  <si>
    <t>Altura Vidro Lateral em U</t>
  </si>
  <si>
    <t>Largura Vidro Lateral em U</t>
  </si>
  <si>
    <t xml:space="preserve">      Vidro com 8 mm de espessura</t>
  </si>
  <si>
    <t xml:space="preserve">Todos os furos com 10mm   </t>
  </si>
  <si>
    <t xml:space="preserve">   Vidro com 8 mm de espessura</t>
  </si>
  <si>
    <t>5x 75cm + 2x 70cm</t>
  </si>
  <si>
    <t>4x 91 cm</t>
  </si>
  <si>
    <t>2 peças de 130 cm + 2 peças de 70 cm + 2 peças de 36.5 cm</t>
  </si>
  <si>
    <t>1 Peça de 130cm + 1 Peça de 77 cm</t>
  </si>
  <si>
    <t>213</t>
  </si>
  <si>
    <t>Duglas</t>
  </si>
  <si>
    <t>210,5</t>
  </si>
  <si>
    <t>144,5</t>
  </si>
  <si>
    <t>Em 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</si>
</sst>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scheme val="minor"/>
    </font>
    <font>
      <b/>
      <sz val="11"/>
      <color rgb="FFFFFFFF"/>
      <name val="Calibri"/>
    </font>
    <font>
      <sz val="11"/>
      <color theme="1"/>
      <name val="Calibri"/>
    </font>
    <font>
      <sz val="11"/>
      <color rgb="FFFF0000"/>
      <name val="Calibri"/>
    </font>
    <font>
      <b/>
      <sz val="11"/>
      <color theme="0"/>
      <name val="Calibri"/>
    </font>
    <font>
      <b/>
      <sz val="18"/>
      <color theme="1"/>
      <name val="Calibri"/>
    </font>
    <font>
      <b/>
      <sz val="16"/>
      <color theme="1"/>
      <name val="Calibri"/>
    </font>
    <font>
      <sz val="16"/>
      <color theme="1"/>
      <name val="Calibri"/>
    </font>
    <font>
      <b/>
      <sz val="24"/>
      <color theme="1"/>
      <name val="Calibri"/>
    </font>
    <font>
      <b/>
      <sz val="11"/>
      <color theme="1"/>
      <name val="Calibri"/>
    </font>
    <font>
      <b/>
      <sz val="20"/>
      <color theme="1"/>
      <name val="Calibri"/>
    </font>
    <font>
      <b/>
      <sz val="22"/>
      <color theme="1"/>
      <name val="Calibri"/>
    </font>
    <font>
      <b/>
      <sz val="26"/>
      <color theme="1"/>
      <name val="Calibri"/>
    </font>
    <font>
      <sz val="18"/>
      <color theme="1"/>
      <name val="Calibri"/>
    </font>
    <font>
      <b/>
      <sz val="28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rgb="FFFF0000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49" fontId="6" fillId="3" borderId="5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6" fillId="0" borderId="0" xfId="0" applyFont="1"/>
    <xf numFmtId="164" fontId="8" fillId="0" borderId="0" xfId="0" applyNumberFormat="1" applyFont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0" xfId="0" applyFont="1"/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center"/>
    </xf>
    <xf numFmtId="0" fontId="5" fillId="0" borderId="0" xfId="0" applyFont="1"/>
    <xf numFmtId="49" fontId="6" fillId="3" borderId="4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2" fontId="4" fillId="4" borderId="2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266700</xdr:colOff>
      <xdr:row>3</xdr:row>
      <xdr:rowOff>152400</xdr:rowOff>
    </xdr:from>
    <xdr:ext cx="4457700" cy="2962275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400050</xdr:colOff>
      <xdr:row>20</xdr:row>
      <xdr:rowOff>152400</xdr:rowOff>
    </xdr:from>
    <xdr:ext cx="5476875" cy="376237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161925</xdr:colOff>
      <xdr:row>1</xdr:row>
      <xdr:rowOff>161925</xdr:rowOff>
    </xdr:from>
    <xdr:ext cx="5029200" cy="3362325"/>
    <xdr:pic>
      <xdr:nvPicPr>
        <xdr:cNvPr id="4" name="image6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552450</xdr:colOff>
      <xdr:row>4</xdr:row>
      <xdr:rowOff>133350</xdr:rowOff>
    </xdr:from>
    <xdr:ext cx="3086100" cy="2105025"/>
    <xdr:pic>
      <xdr:nvPicPr>
        <xdr:cNvPr id="5" name="image7.p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1209675</xdr:colOff>
      <xdr:row>11</xdr:row>
      <xdr:rowOff>19050</xdr:rowOff>
    </xdr:from>
    <xdr:ext cx="3971925" cy="4876800"/>
    <xdr:pic>
      <xdr:nvPicPr>
        <xdr:cNvPr id="6" name="image2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190500</xdr:colOff>
      <xdr:row>11</xdr:row>
      <xdr:rowOff>323850</xdr:rowOff>
    </xdr:from>
    <xdr:ext cx="4819650" cy="3895725"/>
    <xdr:pic>
      <xdr:nvPicPr>
        <xdr:cNvPr id="7" name="image4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104775</xdr:colOff>
      <xdr:row>11</xdr:row>
      <xdr:rowOff>314325</xdr:rowOff>
    </xdr:from>
    <xdr:ext cx="5143500" cy="4276725"/>
    <xdr:pic>
      <xdr:nvPicPr>
        <xdr:cNvPr id="8" name="image3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238125</xdr:colOff>
      <xdr:row>22</xdr:row>
      <xdr:rowOff>47625</xdr:rowOff>
    </xdr:from>
    <xdr:ext cx="2762250" cy="28860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979163" y="2351250"/>
          <a:ext cx="2733675" cy="2857500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266700</xdr:colOff>
      <xdr:row>4</xdr:row>
      <xdr:rowOff>152400</xdr:rowOff>
    </xdr:from>
    <xdr:ext cx="4476750" cy="3067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400050</xdr:colOff>
      <xdr:row>20</xdr:row>
      <xdr:rowOff>152400</xdr:rowOff>
    </xdr:from>
    <xdr:ext cx="5486400" cy="3514725"/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161925</xdr:colOff>
      <xdr:row>2</xdr:row>
      <xdr:rowOff>161925</xdr:rowOff>
    </xdr:from>
    <xdr:ext cx="5019675" cy="3467100"/>
    <xdr:pic>
      <xdr:nvPicPr>
        <xdr:cNvPr id="5" name="image6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552450</xdr:colOff>
      <xdr:row>5</xdr:row>
      <xdr:rowOff>133350</xdr:rowOff>
    </xdr:from>
    <xdr:ext cx="3105150" cy="2095500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123825</xdr:colOff>
      <xdr:row>7</xdr:row>
      <xdr:rowOff>38100</xdr:rowOff>
    </xdr:from>
    <xdr:ext cx="4305300" cy="3609975"/>
    <xdr:pic>
      <xdr:nvPicPr>
        <xdr:cNvPr id="7" name="image4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1333500</xdr:colOff>
      <xdr:row>12</xdr:row>
      <xdr:rowOff>266700</xdr:rowOff>
    </xdr:from>
    <xdr:ext cx="3933825" cy="5019675"/>
    <xdr:pic>
      <xdr:nvPicPr>
        <xdr:cNvPr id="8" name="image5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247650</xdr:colOff>
      <xdr:row>22</xdr:row>
      <xdr:rowOff>381000</xdr:rowOff>
    </xdr:from>
    <xdr:ext cx="2590800" cy="27622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064888" y="2413163"/>
          <a:ext cx="2562225" cy="27336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266700</xdr:colOff>
      <xdr:row>4</xdr:row>
      <xdr:rowOff>152400</xdr:rowOff>
    </xdr:from>
    <xdr:ext cx="4457700" cy="3057525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400050</xdr:colOff>
      <xdr:row>21</xdr:row>
      <xdr:rowOff>152400</xdr:rowOff>
    </xdr:from>
    <xdr:ext cx="5486400" cy="348615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161925</xdr:colOff>
      <xdr:row>2</xdr:row>
      <xdr:rowOff>161925</xdr:rowOff>
    </xdr:from>
    <xdr:ext cx="5029200" cy="3457575"/>
    <xdr:pic>
      <xdr:nvPicPr>
        <xdr:cNvPr id="5" name="image6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552450</xdr:colOff>
      <xdr:row>5</xdr:row>
      <xdr:rowOff>133350</xdr:rowOff>
    </xdr:from>
    <xdr:ext cx="3105150" cy="21050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304800</xdr:colOff>
      <xdr:row>8</xdr:row>
      <xdr:rowOff>0</xdr:rowOff>
    </xdr:from>
    <xdr:ext cx="5133975" cy="5886450"/>
    <xdr:pic>
      <xdr:nvPicPr>
        <xdr:cNvPr id="7" name="image9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76200</xdr:colOff>
      <xdr:row>7</xdr:row>
      <xdr:rowOff>95250</xdr:rowOff>
    </xdr:from>
    <xdr:ext cx="4305300" cy="3657600"/>
    <xdr:pic>
      <xdr:nvPicPr>
        <xdr:cNvPr id="8" name="image4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19050</xdr:colOff>
      <xdr:row>7</xdr:row>
      <xdr:rowOff>19050</xdr:rowOff>
    </xdr:from>
    <xdr:ext cx="4419600" cy="3810000"/>
    <xdr:pic>
      <xdr:nvPicPr>
        <xdr:cNvPr id="9" name="image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9525</xdr:colOff>
      <xdr:row>23</xdr:row>
      <xdr:rowOff>85725</xdr:rowOff>
    </xdr:from>
    <xdr:ext cx="1924050" cy="23431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398263" y="2622713"/>
          <a:ext cx="1895475" cy="23145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247650</xdr:colOff>
      <xdr:row>23</xdr:row>
      <xdr:rowOff>104775</xdr:rowOff>
    </xdr:from>
    <xdr:ext cx="1895475" cy="23431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4412550" y="2622713"/>
          <a:ext cx="1866900" cy="23145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266700</xdr:colOff>
      <xdr:row>4</xdr:row>
      <xdr:rowOff>152400</xdr:rowOff>
    </xdr:from>
    <xdr:ext cx="4467225" cy="3057525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400050</xdr:colOff>
      <xdr:row>21</xdr:row>
      <xdr:rowOff>152400</xdr:rowOff>
    </xdr:from>
    <xdr:ext cx="5486400" cy="358140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161925</xdr:colOff>
      <xdr:row>2</xdr:row>
      <xdr:rowOff>161925</xdr:rowOff>
    </xdr:from>
    <xdr:ext cx="5019675" cy="3457575"/>
    <xdr:pic>
      <xdr:nvPicPr>
        <xdr:cNvPr id="4" name="image6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552450</xdr:colOff>
      <xdr:row>5</xdr:row>
      <xdr:rowOff>133350</xdr:rowOff>
    </xdr:from>
    <xdr:ext cx="3105150" cy="2105025"/>
    <xdr:pic>
      <xdr:nvPicPr>
        <xdr:cNvPr id="7" name="image7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609600</xdr:colOff>
      <xdr:row>10</xdr:row>
      <xdr:rowOff>9525</xdr:rowOff>
    </xdr:from>
    <xdr:ext cx="4591050" cy="6219825"/>
    <xdr:pic>
      <xdr:nvPicPr>
        <xdr:cNvPr id="8" name="image8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209550</xdr:colOff>
      <xdr:row>7</xdr:row>
      <xdr:rowOff>66675</xdr:rowOff>
    </xdr:from>
    <xdr:ext cx="4295775" cy="3657600"/>
    <xdr:pic>
      <xdr:nvPicPr>
        <xdr:cNvPr id="9" name="image4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114300</xdr:colOff>
      <xdr:row>7</xdr:row>
      <xdr:rowOff>38100</xdr:rowOff>
    </xdr:from>
    <xdr:ext cx="4410075" cy="3810000"/>
    <xdr:pic>
      <xdr:nvPicPr>
        <xdr:cNvPr id="10" name="image3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tabSelected="1" workbookViewId="0">
      <selection activeCell="D10" sqref="D10"/>
    </sheetView>
  </sheetViews>
  <sheetFormatPr defaultColWidth="14.44140625" defaultRowHeight="15" customHeight="1" x14ac:dyDescent="0.3"/>
  <cols>
    <col min="1" max="1" width="30" customWidth="1"/>
    <col min="2" max="2" width="17.5546875" customWidth="1"/>
    <col min="3" max="3" width="16.109375" customWidth="1"/>
    <col min="4" max="4" width="26.77734375" customWidth="1"/>
    <col min="5" max="5" width="20.6640625" customWidth="1"/>
    <col min="6" max="6" width="21.5546875" customWidth="1"/>
    <col min="7" max="7" width="13.6640625" customWidth="1"/>
    <col min="8" max="8" width="16.33203125" customWidth="1"/>
    <col min="9" max="9" width="24.33203125" customWidth="1"/>
    <col min="10" max="11" width="16.33203125" customWidth="1"/>
    <col min="12" max="12" width="17.33203125" customWidth="1"/>
    <col min="13" max="26" width="8.6640625" customWidth="1"/>
  </cols>
  <sheetData>
    <row r="1" spans="1:26" ht="30" customHeight="1" x14ac:dyDescent="0.3">
      <c r="A1" s="1" t="s">
        <v>0</v>
      </c>
      <c r="B1" s="1" t="s">
        <v>1</v>
      </c>
      <c r="C1" s="1"/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8" customHeight="1" x14ac:dyDescent="0.3">
      <c r="A2" s="3" t="s">
        <v>11</v>
      </c>
      <c r="B2" s="4" t="s">
        <v>44</v>
      </c>
      <c r="C2" s="1" t="s">
        <v>12</v>
      </c>
      <c r="D2" s="3">
        <v>20</v>
      </c>
      <c r="E2" s="3">
        <v>15</v>
      </c>
      <c r="F2" s="3">
        <v>13</v>
      </c>
      <c r="G2" s="3">
        <v>45</v>
      </c>
      <c r="H2" s="3">
        <v>30</v>
      </c>
      <c r="I2" s="3">
        <v>20</v>
      </c>
      <c r="J2" s="3">
        <v>35</v>
      </c>
      <c r="K2" s="3">
        <v>60</v>
      </c>
      <c r="L2" s="3">
        <v>500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" customHeight="1" x14ac:dyDescent="0.3">
      <c r="A3" s="3" t="s">
        <v>13</v>
      </c>
      <c r="B3" s="4" t="s">
        <v>45</v>
      </c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8" customHeight="1" x14ac:dyDescent="0.3">
      <c r="A4" s="3" t="s">
        <v>14</v>
      </c>
      <c r="B4" s="5" t="s">
        <v>48</v>
      </c>
      <c r="C4" s="1" t="s">
        <v>15</v>
      </c>
      <c r="D4" s="3">
        <f>IF(B4="Simples","",
IF(OR(B4="Em L Esquerda", B4="Em L Direita"),(3*(B5-B11-2))/100,
IF(B4="Em U",(4*(B5-B11-2))/100,0)))</f>
        <v>5.34</v>
      </c>
      <c r="E4" s="3">
        <f>IF(B4="Simples",B6/100,
IF(OR(B4="Em L Esquerda", B4="Em L Direita"),(B6+(B7-7))/100,
IF(B4="Em U",(B6+2*(B7-7))/100,0)))</f>
        <v>2.8650000000000002</v>
      </c>
      <c r="F4" s="3">
        <f>IF(B4="Simples",
B6*(IF((B5-11-B8)&lt;=40,0,
IF(((B5-11-B8)-(1*3))/(1+1)&lt;=40,2,
IF(((B5-11-B8)-(2*3))/(2+1)&lt;=40,3,
IF(((B5-11-B8)-(3*3))/(3+1)&lt;=40,4,
IF(((B5-11-B8)-(4*3))/(4+1)&lt;=40,5,
IF(((B5-11-B8)-(5*3))/(5+1)&lt;=40,6,
0))))))),
IF(OR(B4="Em L Esquerda", B4="Em L Direita"),
(B6+(B7-11))*(IF((B5-11-B8)&lt;=40,0,
IF(((B5-11-B8)-(1*3))/(1+1)&lt;=40,2,
IF(((B5-11-B8)-(2*3))/(2+1)&lt;=40,3,
IF(((B5-11-B8)-(3*3))/(3+1)&lt;=40,4,
IF(((B5-11-B8)-(4*3))/(4+1)&lt;=40,5,
IF(((B5-11-B8)-(5*3))/(5+1)&lt;=40,6,
0))))))),
IF(B4="Em U",
(B6+2*(B7-11))*(IF((B5-11-B8)&lt;=40,0,
IF(((B5-11-B8)-(1*3))/(1+1)&lt;=40,2,
IF(((B5-11-B8)-(2*3))/(2+1)&lt;=40,3,
IF(((B5-11-B8)-(3*3))/(3+1)&lt;=40,4,
IF(((B5-11-B8)-(4*3))/(4+1)&lt;=40,5,
IF(((B5-11-B8)-(5*3))/(5+1)&lt;=40,6,
0))))))),
"")))/100</f>
        <v>11.14</v>
      </c>
      <c r="G4" s="3">
        <f>IF(B4="Simples",
   0,
IF(OR(B4="Em L Esquerda", B4="Em L Direita"),
   (3*75 + 2*(B7 - 11))/100,
IF(B4="Em U",
   (6*75 + 4*(B7 - 11))/100,
"")))</f>
        <v>7.18</v>
      </c>
      <c r="H4" s="3">
        <f>IF(B4="Simples",
   B6/100,
IF(OR(B4="Em L Esquerda", B4="Em L Direita"),
   (B6 + (B7 - 11))/100,
IF(B4="Em U",
   (B6 + 2*(B7 - 11))/100,
"")))</f>
        <v>2.7850000000000001</v>
      </c>
      <c r="I4" s="3">
        <f>IF(B4="Simples",
    IF(B10="Sim", (4*65 + 4*75)/100, (4*65 + 4*72.5)/100),
IF(OR(B4="Em L Esquerda", B4="Em L Direita"),
    IF(B10="Sim", (4*65 + 4*75 + 2*(B8 - 8) + 2*(B7 - 14))/100, (4*65 + 4*72.5 + 2*(B8 - 8) + 2*(B7 - 14))/100),
IF(B4="Em U",
    IF(B10="Sim", (4*65 + 4*75 + 4*(B8 - 8) + 4*(B7 - 14))/100, (4*65 + 4*72.5 + 4*(B8 - 8) + 4*(B7 - 14))/100),
"")))</f>
        <v>10.54</v>
      </c>
      <c r="J4" s="3">
        <f>IF(B4="Simples",2*(B5))/100</f>
        <v>0</v>
      </c>
      <c r="K4" s="3">
        <f>IF(B4="Simples",
   (B6/100) * ((B5 - B8 + B9)/100),
IF(OR(B4="Em L Esquerda", B4="Em L Direita"),
   ((B6/100) * ((B5 - B8 + B9)/100)) + (((B7 - 1)/100) * ((B5 - B8 + B9)/100)),
IF(B4="Em U",
   ((B6/100) * ((B5 - B8 + B9)/100)) + 2 * (((B7 - 1)/100) * ((B5 - B8 + B9)/100)),
0)))</f>
        <v>4.3431750000000005</v>
      </c>
      <c r="L4" s="6">
        <f>IF(B12="Não","",(B14/100*B15/100)+IF(AND(B17&lt;&gt;"",B18&lt;&gt;""),B17/100*B18/100*IF(B4="Em U",2,1),0))</f>
        <v>1.8379500000000002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8" customHeight="1" x14ac:dyDescent="0.3">
      <c r="A5" s="3" t="s">
        <v>16</v>
      </c>
      <c r="B5" s="5" t="s">
        <v>46</v>
      </c>
      <c r="C5" s="1"/>
      <c r="D5" s="1"/>
      <c r="E5" s="1"/>
      <c r="F5" s="1"/>
      <c r="G5" s="1"/>
      <c r="H5" s="1"/>
      <c r="I5" s="1"/>
      <c r="J5" s="1"/>
      <c r="K5" s="1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8" customHeight="1" x14ac:dyDescent="0.3">
      <c r="A6" s="3" t="s">
        <v>17</v>
      </c>
      <c r="B6" s="5" t="s">
        <v>47</v>
      </c>
      <c r="C6" s="1" t="s">
        <v>18</v>
      </c>
      <c r="D6" s="3">
        <f>IF(B4="Simples", "", D2*D4)</f>
        <v>106.8</v>
      </c>
      <c r="E6" s="3">
        <f t="shared" ref="E6:F6" si="0">E2*E4</f>
        <v>42.975000000000001</v>
      </c>
      <c r="F6" s="3">
        <f t="shared" si="0"/>
        <v>144.82</v>
      </c>
      <c r="G6" s="3">
        <f>IF(B4="Simples", "",G2*G4)</f>
        <v>323.09999999999997</v>
      </c>
      <c r="H6" s="3">
        <f t="shared" ref="H6:K6" si="1">H2*H4</f>
        <v>83.550000000000011</v>
      </c>
      <c r="I6" s="3">
        <f t="shared" si="1"/>
        <v>210.79999999999998</v>
      </c>
      <c r="J6" s="3">
        <f t="shared" si="1"/>
        <v>0</v>
      </c>
      <c r="K6" s="3">
        <f t="shared" si="1"/>
        <v>260.59050000000002</v>
      </c>
      <c r="L6" s="3">
        <f>IF(L4="","",ROUND(L2*L4,2))</f>
        <v>918.98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8" customHeight="1" x14ac:dyDescent="0.3">
      <c r="A7" s="3" t="s">
        <v>19</v>
      </c>
      <c r="B7" s="5">
        <v>78</v>
      </c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50.25" customHeight="1" x14ac:dyDescent="0.3">
      <c r="A8" s="3" t="s">
        <v>20</v>
      </c>
      <c r="B8" s="5">
        <v>70</v>
      </c>
      <c r="C8" s="1" t="s">
        <v>21</v>
      </c>
      <c r="D8" s="3" t="str">
        <f>IF(OR('Porta Guilhotina'!B4="Em L Esquerda", 'Porta Guilhotina'!B4="Em L Direita"), "3x " &amp; ('Porta Guilhotina'!B5 - 'Porta Guilhotina'!B11 - 2) &amp; " cm", IF('Porta Guilhotina'!B4="Em U", "4x " &amp; ('Porta Guilhotina'!B5 - 'Porta Guilhotina'!B11 - 2) &amp; " cm", ""))</f>
        <v>4x 133,5 cm</v>
      </c>
      <c r="E8" s="3" t="str">
        <f>IF('Porta Guilhotina'!B4="Simples",
   "1 Peça de " &amp; 'Porta Guilhotina'!B6 &amp; " cm",
IF(OR('Porta Guilhotina'!B4="Em L Esquerda", 'Porta Guilhotina'!B4="Em L Direita"),
   "1 Peça de " &amp; 'Porta Guilhotina'!B6 &amp; " cm + 1 Peça de " &amp; ('Porta Guilhotina'!B7 - 4) &amp; " cm",
IF('Porta Guilhotina'!B4="Em U",
   "1 Peça de " &amp; 'Porta Guilhotina'!B6 &amp; " cm + 2 Peças de " &amp; ('Porta Guilhotina'!B7 - 4) &amp; " cm",
"")))</f>
        <v>1 Peça de 144,5 cm + 2 Peças de 74 cm</v>
      </c>
      <c r="F8" s="3" t="e">
        <f ca="1">_xludf.LET(
    _xlpm.tipo, 'Porta Guilhotina'!B4,
    _xlpm.alturaTotal, 'Porta Guilhotina'!B5,
    _xlpm.alturaBoca, 'Porta Guilhotina'!B8,
    _xlpm.largura, 'Porta Guilhotina'!B6,
    _xlpm.profundidade, 'Porta Guilhotina'!B7,
    _xlpm.espaco, _xlpm.alturaTotal - _xlpm.alturaBoca - 7,
    _xlpm.pecas,
        IF(_xlpm.espaco&lt;=40, 0,
        IF((_xlpm.espaco - (1*3))/(1+1) &lt;= 40, 1,
        IF((_xlpm.espaco - (2*3))/(2+1) &lt;= 40, 2,
        IF((_xlpm.espaco - (3*3))/(3+1) &lt;= 40, 3,
        IF((_xlpm.espaco - (4*3))/(4+1) &lt;= 40, 4,
        IF((_xlpm.espaco - (5*3))/(5+1) &lt;= 40, 5,
        6)))))),
    _xlpm.medidaSimples, _xlpm.largura,
    _xlpm.medidaEmL, _xlpm.profundidade - 11,
    _xlpm.medidaEmU, _xlpm.profundidade - 11,
    _xlpm.resultadoSimples, _xlpm.pecas &amp; " peças de " &amp; _xlpm.medidaSimples &amp; " cm",
    _xlpm.resultadoEmL, _xlpm.pecas &amp; " peças de " &amp; _xlpm.largura &amp; " cm + " &amp; _xlpm.pecas &amp; " peças de " &amp; _xlpm.medidaEmL &amp; " cm",
    _xlpm.resultadoEmU, _xlpm.pecas &amp; " peças de " &amp; _xlpm.largura &amp; " cm + " &amp; (2*_xlpm.pecas) &amp; " peças de " &amp; _xlpm.medidaEmU &amp; " cm",
    IF(_xlpm.tipo="Simples", _xlpm.resultadoSimples,
    IF(OR(_xlpm.tipo="Em L Direita", _xlpm.tipo="Em L Esquerda"), _xlpm.resultadoEmL,
    IF(_xlpm.tipo="Em U", _xlpm.resultadoEmU,
    "Tipo não reconhecido")))
)</f>
        <v>#NAME?</v>
      </c>
      <c r="G8" s="3" t="str">
        <f>IF('Porta Guilhotina'!B4="Simples",
   "",
IF(OR('Porta Guilhotina'!B4="Em L Esquerda", 'Porta Guilhotina'!B4="Em L Direita"),
   "3x 75cm + 2x " &amp; ('Porta Guilhotina'!B7 - 11) &amp; "cm",
IF('Porta Guilhotina'!B4="Em U",
   "4x 75cm + 4x " &amp; ('Porta Guilhotina'!B7 - 8) &amp; "cm",
"")))</f>
        <v>4x 75cm + 4x 70cm</v>
      </c>
      <c r="H8" s="3" t="str">
        <f>IF('Porta Guilhotina'!B4="Simples",
   "1x " &amp; 'Porta Guilhotina'!B6 &amp; " cm",
IF(OR('Porta Guilhotina'!B4="Em L Esquerda", 'Porta Guilhotina'!B4="Em L Direita"),
   "1x " &amp; 'Porta Guilhotina'!B6 &amp; " cm + 1x " &amp; ('Porta Guilhotina'!B7 - 11) &amp; " cm",
IF('Porta Guilhotina'!B4="Em U",
   "1x " &amp; 'Porta Guilhotina'!B6 &amp; " cm + 2x " &amp; ('Porta Guilhotina'!B7 - 8) &amp; " cm",
"")))</f>
        <v>1x 144,5 cm + 2x 70 cm</v>
      </c>
      <c r="I8" s="3" t="str">
        <f>IF('Porta Guilhotina'!B4="Simples",
   IF('Porta Guilhotina'!B10="Sim", "4x 65cm + 4x 75cm", "4x 65cm + 4x 72,5cm"),
IF(OR('Porta Guilhotina'!B4="Em L Esquerda", 'Porta Guilhotina'!B4="Em L Direita"),
   IF('Porta Guilhotina'!B10="Sim", "4x 65cm + 4x 75cm + 2x " &amp; ('Porta Guilhotina'!B8 - 8) &amp; " cm + 2x " &amp; ('Porta Guilhotina'!B7 - 11) &amp; " cm",
                "4x 65cm + 4x 72,5cm + 2x " &amp; ('Porta Guilhotina'!B8 - 8) &amp; " cm + 2x " &amp; ('Porta Guilhotina'!B7 - 11) &amp; " cm"),
IF('Porta Guilhotina'!B4="Em U",
   IF('Porta Guilhotina'!B10="Sim", "4x 65cm + 4x 75cm + 4x " &amp; ('Porta Guilhotina'!B8 - 8) &amp; " cm + 4x " &amp; ('Porta Guilhotina'!B7 - 11) &amp; " cm",
                "4x 65cm + 4x 72,5cm + 4x " &amp; ('Porta Guilhotina'!B8 - 8) &amp; " cm + 4x " &amp; ('Porta Guilhotina'!B7 - 11) &amp; " cm"),
"")))</f>
        <v>4x 65cm + 4x 72,5cm + 4x 62 cm + 4x 67 cm</v>
      </c>
      <c r="J8" s="3" t="str">
        <f>IF('Porta Guilhotina'!B4="Simples", "2x " &amp; ('Porta Guilhotina'!B5 - 2) &amp; " cm", "")</f>
        <v/>
      </c>
      <c r="K8" s="3" t="str">
        <f>IF('Porta Guilhotina'!B4="Simples",
   'Porta Guilhotina'!B6 &amp; "x" &amp; ('Porta Guilhotina'!B5 - 'Porta Guilhotina'!B8 + 'Porta Guilhotina'!F2) &amp; " cm",
IF(OR('Porta Guilhotina'!B4="Em L Esquerda", 'Porta Guilhotina'!B4="Em L Direita"),
   'Porta Guilhotina'!B6 &amp; "x" &amp; ('Porta Guilhotina'!B5 - 'Porta Guilhotina'!B8 + 'Porta Guilhotina'!F2) &amp; " cm + " &amp; ('Porta Guilhotina'!B7 - 1) &amp; "x" &amp; ('Porta Guilhotina'!B5 - 'Porta Guilhotina'!B8 + 'Porta Guilhotina'!F2) &amp; " cm",
IF('Porta Guilhotina'!B4="Em U",
   'Porta Guilhotina'!B6 &amp; "x" &amp; ('Porta Guilhotina'!B5 - 'Porta Guilhotina'!B8 + 'Porta Guilhotina'!F2) &amp; " cm + 2x " &amp; ('Porta Guilhotina'!B7 - 1) &amp; "x" &amp; ('Porta Guilhotina'!B5 - 'Porta Guilhotina'!B8 + 'Porta Guilhotina'!F2) &amp; " cm",
"")))</f>
        <v>144,5x153,5 cm + 2x 77x153,5 cm</v>
      </c>
      <c r="L8" s="3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.25" customHeight="1" x14ac:dyDescent="0.3">
      <c r="A9" s="3" t="s">
        <v>22</v>
      </c>
      <c r="B9" s="5">
        <v>5</v>
      </c>
      <c r="C9" s="1"/>
      <c r="D9" s="1"/>
      <c r="E9" s="1"/>
      <c r="F9" s="1"/>
      <c r="G9" s="1"/>
      <c r="H9" s="1"/>
      <c r="I9" s="1"/>
      <c r="J9" s="1"/>
      <c r="K9" s="1"/>
      <c r="L9" s="1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.25" customHeight="1" x14ac:dyDescent="0.3">
      <c r="A10" s="3" t="s">
        <v>23</v>
      </c>
      <c r="B10" s="5" t="s">
        <v>24</v>
      </c>
      <c r="C10" s="1" t="s">
        <v>25</v>
      </c>
      <c r="D10" s="43">
        <f>SUM(D6,E6,F6,G6,H6,I6,J6,K6)</f>
        <v>1172.6354999999999</v>
      </c>
      <c r="E10" s="1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25" customHeight="1" x14ac:dyDescent="0.3">
      <c r="A11" s="3" t="s">
        <v>26</v>
      </c>
      <c r="B11" s="3">
        <v>75</v>
      </c>
      <c r="C11" s="1"/>
      <c r="D11" s="1"/>
      <c r="E11" s="1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4.25" customHeight="1" x14ac:dyDescent="0.3">
      <c r="A12" s="3" t="s">
        <v>27</v>
      </c>
      <c r="B12" s="3" t="s">
        <v>28</v>
      </c>
      <c r="C12" s="1"/>
      <c r="D12" s="7"/>
      <c r="E12" s="7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.25" customHeight="1" x14ac:dyDescent="0.3">
      <c r="A13" s="1" t="s">
        <v>29</v>
      </c>
      <c r="B13" s="1" t="s">
        <v>1</v>
      </c>
      <c r="C13" s="1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.25" customHeight="1" x14ac:dyDescent="0.3">
      <c r="A14" s="3" t="s">
        <v>30</v>
      </c>
      <c r="B14" s="3">
        <f>B8+5</f>
        <v>75</v>
      </c>
      <c r="C14" s="1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48" customHeight="1" x14ac:dyDescent="0.3">
      <c r="A15" s="3" t="s">
        <v>31</v>
      </c>
      <c r="B15" s="3">
        <f>IF(B4="Simples", B6-4.5, IF(OR(B4="Em L Esquerda", B4="Em L Direita", B4="Em U"), B6-8.5, ""))</f>
        <v>136</v>
      </c>
      <c r="C15" s="1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.25" customHeight="1" x14ac:dyDescent="0.3">
      <c r="A16" s="1" t="s">
        <v>32</v>
      </c>
      <c r="B16" s="1" t="s">
        <v>1</v>
      </c>
      <c r="C16" s="1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.25" customHeight="1" x14ac:dyDescent="0.3">
      <c r="A17" s="3" t="s">
        <v>33</v>
      </c>
      <c r="B17" s="3">
        <f>IF(B4="Simples", "", IF(OR(B4="Em U", B4="Em L Esquerda", B4="Em L Direita"), B8-8.5, ""))</f>
        <v>61.5</v>
      </c>
      <c r="C17" s="1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.25" customHeight="1" x14ac:dyDescent="0.3">
      <c r="A18" s="3" t="s">
        <v>34</v>
      </c>
      <c r="B18" s="3">
        <f>IF(OR(B4="Em L Esquerda", B4="Em L Direita", B4="Em U"), B7-11.5, "")</f>
        <v>66.5</v>
      </c>
      <c r="C18" s="1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.25" customHeight="1" x14ac:dyDescent="0.3">
      <c r="A19" s="1" t="s">
        <v>32</v>
      </c>
      <c r="B19" s="1" t="s">
        <v>1</v>
      </c>
      <c r="C19" s="1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35.25" customHeight="1" x14ac:dyDescent="0.3">
      <c r="A20" s="3" t="s">
        <v>35</v>
      </c>
      <c r="B20" s="3" t="str">
        <f>IF(B4="Em U", "2 vidros com altura de " &amp; (B14 - 8.5), "")</f>
        <v>2 vidros com altura de 66,5</v>
      </c>
      <c r="C20" s="1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35.25" customHeight="1" x14ac:dyDescent="0.3">
      <c r="A21" s="3" t="s">
        <v>36</v>
      </c>
      <c r="B21" s="3" t="str">
        <f>IF(B4="Em U", "2 vidros com largura de " &amp;  (B7 - 11.5), "")</f>
        <v>2 vidros com largura de 66,5</v>
      </c>
      <c r="C21" s="1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3">
      <c r="A22" s="1"/>
      <c r="B22" s="1"/>
      <c r="C22" s="1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.25" customHeigh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2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.2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.2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.2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.2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2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2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2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2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2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2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2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2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2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2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25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2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2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2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2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dataValidations count="2">
    <dataValidation type="list" allowBlank="1" showErrorMessage="1" sqref="B4" xr:uid="{00000000-0002-0000-0000-000000000000}">
      <formula1>"Simples,Em L Esquerda,Em L Direita,Em U"</formula1>
    </dataValidation>
    <dataValidation type="list" allowBlank="1" showErrorMessage="1" sqref="B10 B12" xr:uid="{00000000-0002-0000-0000-000001000000}">
      <formula1>"Sim,Não"</formula1>
    </dataValidation>
  </dataValidations>
  <pageMargins left="0.511811024" right="0.511811024" top="0.78740157499999996" bottom="0.78740157499999996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Z1000"/>
  <sheetViews>
    <sheetView showGridLines="0" workbookViewId="0"/>
  </sheetViews>
  <sheetFormatPr defaultColWidth="14.44140625" defaultRowHeight="15" customHeight="1" x14ac:dyDescent="0.3"/>
  <cols>
    <col min="1" max="1" width="36.33203125" customWidth="1"/>
    <col min="2" max="2" width="18.88671875" customWidth="1"/>
    <col min="3" max="3" width="44.109375" customWidth="1"/>
    <col min="4" max="5" width="13.88671875" customWidth="1"/>
    <col min="6" max="6" width="14.6640625" customWidth="1"/>
    <col min="7" max="7" width="24.109375" customWidth="1"/>
    <col min="8" max="8" width="14.5546875" customWidth="1"/>
    <col min="9" max="9" width="13.88671875" customWidth="1"/>
    <col min="10" max="26" width="8.6640625" customWidth="1"/>
  </cols>
  <sheetData>
    <row r="1" spans="1:26" ht="39" customHeight="1" x14ac:dyDescent="0.3">
      <c r="C1" s="8">
        <v>45817</v>
      </c>
      <c r="D1" s="9"/>
      <c r="G1" s="9"/>
    </row>
    <row r="2" spans="1:26" ht="18" customHeight="1" x14ac:dyDescent="0.4">
      <c r="A2" s="10" t="str">
        <f>'Porta Guilhotina'!A2 &amp; " " &amp; 'Porta Guilhotina'!B2</f>
        <v>Orçamento 213</v>
      </c>
      <c r="B2" s="11"/>
      <c r="C2" s="12" t="str">
        <f>'Porta Guilhotina'!B3</f>
        <v>Duglas</v>
      </c>
      <c r="D2" s="13"/>
      <c r="E2" s="14"/>
      <c r="F2" s="15" t="s">
        <v>37</v>
      </c>
      <c r="G2" s="13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8" customHeight="1" x14ac:dyDescent="0.4">
      <c r="A3" s="10" t="s">
        <v>8</v>
      </c>
      <c r="B3" s="16"/>
      <c r="C3" s="17" t="str">
        <f>'Porta Guilhotina'!J8</f>
        <v/>
      </c>
      <c r="D3" s="13"/>
      <c r="E3" s="14"/>
      <c r="F3" s="14"/>
      <c r="G3" s="13"/>
      <c r="H3" s="14"/>
      <c r="I3" s="18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8" customHeight="1" x14ac:dyDescent="0.4">
      <c r="A4" s="10" t="s">
        <v>6</v>
      </c>
      <c r="B4" s="11"/>
      <c r="C4" s="17" t="str">
        <f>'Porta Guilhotina'!H8</f>
        <v>1x 144,5 cm + 2x 70 cm</v>
      </c>
      <c r="D4" s="13"/>
      <c r="E4" s="14"/>
      <c r="F4" s="14"/>
      <c r="G4" s="13" t="s">
        <v>38</v>
      </c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8" customHeight="1" x14ac:dyDescent="0.4">
      <c r="A5" s="10" t="s">
        <v>4</v>
      </c>
      <c r="B5" s="11"/>
      <c r="C5" s="17" t="e">
        <f ca="1">'Porta Guilhotina'!F8</f>
        <v>#NAME?</v>
      </c>
      <c r="D5" s="13"/>
      <c r="E5" s="14"/>
      <c r="F5" s="14"/>
      <c r="G5" s="13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8" customHeight="1" x14ac:dyDescent="0.4">
      <c r="A6" s="10" t="s">
        <v>7</v>
      </c>
      <c r="B6" s="11"/>
      <c r="C6" s="17" t="str">
        <f>'Porta Guilhotina'!I8</f>
        <v>4x 65cm + 4x 72,5cm + 4x 62 cm + 4x 67 cm</v>
      </c>
      <c r="D6" s="13"/>
      <c r="E6" s="14"/>
      <c r="F6" s="19"/>
      <c r="G6" s="20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8" customHeight="1" x14ac:dyDescent="0.4">
      <c r="A7" s="10" t="s">
        <v>3</v>
      </c>
      <c r="B7" s="16"/>
      <c r="C7" s="17" t="str">
        <f>'Porta Guilhotina'!E8</f>
        <v>1 Peça de 144,5 cm + 2 Peças de 74 cm</v>
      </c>
      <c r="D7" s="13"/>
      <c r="E7" s="14"/>
      <c r="F7" s="14"/>
      <c r="G7" s="13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8" customHeight="1" x14ac:dyDescent="0.4">
      <c r="A8" s="10" t="str">
        <f>'Porta Guilhotina'!A10</f>
        <v>Pedra instalada</v>
      </c>
      <c r="B8" s="11"/>
      <c r="C8" s="17" t="str">
        <f>'Porta Guilhotina'!B10</f>
        <v>Não</v>
      </c>
      <c r="D8" s="13"/>
      <c r="E8" s="14"/>
      <c r="F8" s="14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" customHeight="1" x14ac:dyDescent="0.3">
      <c r="A9" s="21"/>
      <c r="B9" s="21"/>
      <c r="C9" s="21"/>
      <c r="D9" s="9"/>
      <c r="G9" s="9"/>
    </row>
    <row r="10" spans="1:26" ht="15" customHeight="1" x14ac:dyDescent="0.3">
      <c r="A10" s="21"/>
      <c r="B10" s="21"/>
      <c r="C10" s="21"/>
      <c r="D10" s="9"/>
      <c r="G10" s="9"/>
    </row>
    <row r="11" spans="1:26" ht="23.25" customHeight="1" x14ac:dyDescent="0.3">
      <c r="B11" s="22"/>
      <c r="D11" s="9"/>
      <c r="G11" s="9"/>
    </row>
    <row r="12" spans="1:26" ht="23.25" customHeight="1" x14ac:dyDescent="0.3">
      <c r="D12" s="9"/>
      <c r="G12" s="23">
        <f>'Porta Guilhotina'!B15</f>
        <v>136</v>
      </c>
    </row>
    <row r="13" spans="1:26" ht="23.25" customHeight="1" x14ac:dyDescent="0.3">
      <c r="D13" s="9"/>
      <c r="G13" s="9"/>
    </row>
    <row r="14" spans="1:26" ht="23.25" customHeight="1" x14ac:dyDescent="0.3">
      <c r="D14" s="24"/>
      <c r="G14" s="9"/>
    </row>
    <row r="15" spans="1:26" ht="23.25" customHeight="1" x14ac:dyDescent="0.3">
      <c r="D15" s="9"/>
      <c r="G15" s="9"/>
    </row>
    <row r="16" spans="1:26" ht="23.25" customHeight="1" x14ac:dyDescent="0.3">
      <c r="D16" s="9"/>
      <c r="G16" s="9"/>
    </row>
    <row r="17" spans="1:9" ht="23.25" customHeight="1" x14ac:dyDescent="0.3">
      <c r="D17" s="9"/>
      <c r="G17" s="9"/>
    </row>
    <row r="18" spans="1:9" ht="23.25" customHeight="1" x14ac:dyDescent="0.3">
      <c r="C18" s="25"/>
      <c r="D18" s="9"/>
      <c r="G18" s="9"/>
    </row>
    <row r="19" spans="1:9" ht="23.25" customHeight="1" x14ac:dyDescent="0.3">
      <c r="A19" s="26" t="str">
        <f>'Porta Guilhotina'!B5</f>
        <v>210,5</v>
      </c>
      <c r="D19" s="27">
        <f>'Porta Guilhotina'!B14</f>
        <v>75</v>
      </c>
      <c r="G19" s="9"/>
    </row>
    <row r="20" spans="1:9" ht="23.25" customHeight="1" x14ac:dyDescent="0.3">
      <c r="D20" s="22"/>
      <c r="G20" s="9"/>
    </row>
    <row r="21" spans="1:9" ht="23.25" customHeight="1" x14ac:dyDescent="0.3">
      <c r="D21" s="9"/>
      <c r="G21" s="9"/>
    </row>
    <row r="22" spans="1:9" ht="23.25" customHeight="1" x14ac:dyDescent="0.3">
      <c r="A22" s="25"/>
      <c r="D22" s="9"/>
      <c r="G22" s="9"/>
    </row>
    <row r="23" spans="1:9" ht="23.25" customHeight="1" x14ac:dyDescent="0.3">
      <c r="D23" s="9"/>
      <c r="G23" s="9"/>
    </row>
    <row r="24" spans="1:9" ht="23.25" customHeight="1" x14ac:dyDescent="0.3">
      <c r="D24" s="9"/>
      <c r="G24" s="9"/>
    </row>
    <row r="25" spans="1:9" ht="23.25" customHeight="1" x14ac:dyDescent="0.3">
      <c r="D25" s="9"/>
      <c r="G25" s="9"/>
    </row>
    <row r="26" spans="1:9" ht="23.25" customHeight="1" x14ac:dyDescent="0.3">
      <c r="D26" s="9"/>
      <c r="G26" s="9"/>
    </row>
    <row r="27" spans="1:9" ht="23.25" customHeight="1" x14ac:dyDescent="0.3">
      <c r="D27" s="9"/>
      <c r="E27" s="28"/>
      <c r="G27" s="9"/>
    </row>
    <row r="28" spans="1:9" ht="23.25" customHeight="1" x14ac:dyDescent="0.3">
      <c r="D28" s="9"/>
      <c r="G28" s="9"/>
    </row>
    <row r="29" spans="1:9" ht="23.25" customHeight="1" x14ac:dyDescent="0.3">
      <c r="B29" s="24" t="str">
        <f>'Porta Guilhotina'!B6</f>
        <v>144,5</v>
      </c>
      <c r="D29" s="9"/>
      <c r="G29" s="9"/>
    </row>
    <row r="30" spans="1:9" ht="23.25" customHeight="1" x14ac:dyDescent="0.3">
      <c r="D30" s="9"/>
      <c r="G30" s="9"/>
    </row>
    <row r="31" spans="1:9" ht="23.25" customHeight="1" x14ac:dyDescent="0.3">
      <c r="D31" s="9"/>
      <c r="G31" s="9"/>
    </row>
    <row r="32" spans="1:9" ht="23.25" customHeight="1" x14ac:dyDescent="0.3">
      <c r="D32" s="9"/>
      <c r="G32" s="9"/>
      <c r="I32" s="29"/>
    </row>
    <row r="33" spans="2:7" ht="23.25" customHeight="1" x14ac:dyDescent="0.3">
      <c r="D33" s="9"/>
      <c r="G33" s="9"/>
    </row>
    <row r="34" spans="2:7" ht="23.25" customHeight="1" x14ac:dyDescent="0.3">
      <c r="B34" s="30"/>
      <c r="D34" s="9"/>
      <c r="G34" s="9"/>
    </row>
    <row r="35" spans="2:7" ht="23.25" customHeight="1" x14ac:dyDescent="0.3">
      <c r="D35" s="9"/>
      <c r="G35" s="9"/>
    </row>
    <row r="36" spans="2:7" ht="23.25" customHeight="1" x14ac:dyDescent="0.3">
      <c r="D36" s="9"/>
      <c r="G36" s="9"/>
    </row>
    <row r="37" spans="2:7" ht="23.25" customHeight="1" x14ac:dyDescent="0.3">
      <c r="D37" s="9"/>
      <c r="G37" s="9"/>
    </row>
    <row r="38" spans="2:7" ht="23.25" customHeight="1" x14ac:dyDescent="0.3">
      <c r="D38" s="9"/>
      <c r="G38" s="9"/>
    </row>
    <row r="39" spans="2:7" ht="23.25" customHeight="1" x14ac:dyDescent="0.3">
      <c r="D39" s="9"/>
      <c r="G39" s="9"/>
    </row>
    <row r="40" spans="2:7" ht="23.25" customHeight="1" x14ac:dyDescent="0.3">
      <c r="D40" s="9"/>
      <c r="G40" s="9"/>
    </row>
    <row r="41" spans="2:7" ht="23.25" customHeight="1" x14ac:dyDescent="0.3">
      <c r="D41" s="9"/>
      <c r="G41" s="9"/>
    </row>
    <row r="42" spans="2:7" ht="23.25" customHeight="1" x14ac:dyDescent="0.3">
      <c r="D42" s="9"/>
      <c r="G42" s="9"/>
    </row>
    <row r="43" spans="2:7" ht="23.25" customHeight="1" x14ac:dyDescent="0.3">
      <c r="D43" s="9"/>
      <c r="G43" s="9"/>
    </row>
    <row r="44" spans="2:7" ht="23.25" customHeight="1" x14ac:dyDescent="0.3">
      <c r="D44" s="9"/>
      <c r="G44" s="9"/>
    </row>
    <row r="45" spans="2:7" ht="23.25" customHeight="1" x14ac:dyDescent="0.3">
      <c r="D45" s="9"/>
      <c r="G45" s="9"/>
    </row>
    <row r="46" spans="2:7" ht="23.25" customHeight="1" x14ac:dyDescent="0.3">
      <c r="D46" s="9"/>
      <c r="G46" s="9"/>
    </row>
    <row r="47" spans="2:7" ht="23.25" customHeight="1" x14ac:dyDescent="0.3">
      <c r="D47" s="9"/>
      <c r="G47" s="9"/>
    </row>
    <row r="48" spans="2:7" ht="23.25" customHeight="1" x14ac:dyDescent="0.3">
      <c r="D48" s="9"/>
      <c r="G48" s="9"/>
    </row>
    <row r="49" spans="4:7" ht="23.25" customHeight="1" x14ac:dyDescent="0.3">
      <c r="D49" s="9"/>
      <c r="G49" s="9"/>
    </row>
    <row r="50" spans="4:7" ht="23.25" customHeight="1" x14ac:dyDescent="0.3">
      <c r="D50" s="9"/>
      <c r="G50" s="9"/>
    </row>
    <row r="51" spans="4:7" ht="23.25" customHeight="1" x14ac:dyDescent="0.3">
      <c r="D51" s="9"/>
      <c r="G51" s="9"/>
    </row>
    <row r="52" spans="4:7" ht="23.25" customHeight="1" x14ac:dyDescent="0.3">
      <c r="D52" s="9"/>
      <c r="G52" s="9"/>
    </row>
    <row r="53" spans="4:7" ht="23.25" customHeight="1" x14ac:dyDescent="0.3">
      <c r="D53" s="9"/>
      <c r="G53" s="9"/>
    </row>
    <row r="54" spans="4:7" ht="23.25" customHeight="1" x14ac:dyDescent="0.3">
      <c r="D54" s="9"/>
      <c r="G54" s="9"/>
    </row>
    <row r="55" spans="4:7" ht="23.25" customHeight="1" x14ac:dyDescent="0.3">
      <c r="D55" s="9"/>
      <c r="G55" s="9"/>
    </row>
    <row r="56" spans="4:7" ht="23.25" customHeight="1" x14ac:dyDescent="0.3">
      <c r="D56" s="9"/>
      <c r="G56" s="9"/>
    </row>
    <row r="57" spans="4:7" ht="23.25" customHeight="1" x14ac:dyDescent="0.3">
      <c r="D57" s="9"/>
      <c r="G57" s="9"/>
    </row>
    <row r="58" spans="4:7" ht="23.25" customHeight="1" x14ac:dyDescent="0.3">
      <c r="D58" s="9"/>
      <c r="G58" s="9"/>
    </row>
    <row r="59" spans="4:7" ht="23.25" customHeight="1" x14ac:dyDescent="0.3">
      <c r="D59" s="9"/>
      <c r="G59" s="9"/>
    </row>
    <row r="60" spans="4:7" ht="23.25" customHeight="1" x14ac:dyDescent="0.3">
      <c r="D60" s="9"/>
      <c r="G60" s="9"/>
    </row>
    <row r="61" spans="4:7" ht="23.25" customHeight="1" x14ac:dyDescent="0.3">
      <c r="D61" s="9"/>
      <c r="G61" s="9"/>
    </row>
    <row r="62" spans="4:7" ht="23.25" customHeight="1" x14ac:dyDescent="0.3">
      <c r="D62" s="9"/>
      <c r="G62" s="9"/>
    </row>
    <row r="63" spans="4:7" ht="23.25" customHeight="1" x14ac:dyDescent="0.3">
      <c r="D63" s="9"/>
      <c r="G63" s="9"/>
    </row>
    <row r="64" spans="4:7" ht="23.25" customHeight="1" x14ac:dyDescent="0.3">
      <c r="D64" s="9"/>
      <c r="G64" s="9"/>
    </row>
    <row r="65" spans="4:7" ht="23.25" customHeight="1" x14ac:dyDescent="0.3">
      <c r="D65" s="9"/>
      <c r="G65" s="9"/>
    </row>
    <row r="66" spans="4:7" ht="23.25" customHeight="1" x14ac:dyDescent="0.3">
      <c r="D66" s="9"/>
      <c r="G66" s="9"/>
    </row>
    <row r="67" spans="4:7" ht="23.25" customHeight="1" x14ac:dyDescent="0.3">
      <c r="D67" s="9"/>
      <c r="G67" s="9"/>
    </row>
    <row r="68" spans="4:7" ht="23.25" customHeight="1" x14ac:dyDescent="0.3">
      <c r="D68" s="9"/>
      <c r="G68" s="9"/>
    </row>
    <row r="69" spans="4:7" ht="23.25" customHeight="1" x14ac:dyDescent="0.3">
      <c r="D69" s="9"/>
      <c r="G69" s="9"/>
    </row>
    <row r="70" spans="4:7" ht="23.25" customHeight="1" x14ac:dyDescent="0.3">
      <c r="D70" s="9"/>
      <c r="G70" s="9"/>
    </row>
    <row r="71" spans="4:7" ht="23.25" customHeight="1" x14ac:dyDescent="0.3">
      <c r="D71" s="9"/>
      <c r="G71" s="9"/>
    </row>
    <row r="72" spans="4:7" ht="23.25" customHeight="1" x14ac:dyDescent="0.3">
      <c r="D72" s="9"/>
      <c r="G72" s="9"/>
    </row>
    <row r="73" spans="4:7" ht="23.25" customHeight="1" x14ac:dyDescent="0.3">
      <c r="D73" s="9"/>
      <c r="G73" s="9"/>
    </row>
    <row r="74" spans="4:7" ht="23.25" customHeight="1" x14ac:dyDescent="0.3">
      <c r="D74" s="9"/>
      <c r="G74" s="9"/>
    </row>
    <row r="75" spans="4:7" ht="23.25" customHeight="1" x14ac:dyDescent="0.3">
      <c r="D75" s="9"/>
      <c r="G75" s="9"/>
    </row>
    <row r="76" spans="4:7" ht="23.25" customHeight="1" x14ac:dyDescent="0.3">
      <c r="D76" s="9"/>
      <c r="G76" s="9"/>
    </row>
    <row r="77" spans="4:7" ht="23.25" customHeight="1" x14ac:dyDescent="0.3">
      <c r="D77" s="9"/>
      <c r="G77" s="9"/>
    </row>
    <row r="78" spans="4:7" ht="23.25" customHeight="1" x14ac:dyDescent="0.3">
      <c r="D78" s="9"/>
      <c r="G78" s="9"/>
    </row>
    <row r="79" spans="4:7" ht="23.25" customHeight="1" x14ac:dyDescent="0.3">
      <c r="D79" s="9"/>
      <c r="G79" s="9"/>
    </row>
    <row r="80" spans="4:7" ht="23.25" customHeight="1" x14ac:dyDescent="0.3">
      <c r="D80" s="9"/>
      <c r="G80" s="9"/>
    </row>
    <row r="81" spans="4:7" ht="23.25" customHeight="1" x14ac:dyDescent="0.3">
      <c r="D81" s="9"/>
      <c r="G81" s="9"/>
    </row>
    <row r="82" spans="4:7" ht="23.25" customHeight="1" x14ac:dyDescent="0.3">
      <c r="D82" s="9"/>
      <c r="G82" s="9"/>
    </row>
    <row r="83" spans="4:7" ht="23.25" customHeight="1" x14ac:dyDescent="0.3">
      <c r="D83" s="9"/>
      <c r="G83" s="9"/>
    </row>
    <row r="84" spans="4:7" ht="23.25" customHeight="1" x14ac:dyDescent="0.3">
      <c r="D84" s="9"/>
      <c r="G84" s="9"/>
    </row>
    <row r="85" spans="4:7" ht="23.25" customHeight="1" x14ac:dyDescent="0.3">
      <c r="D85" s="9"/>
      <c r="G85" s="9"/>
    </row>
    <row r="86" spans="4:7" ht="23.25" customHeight="1" x14ac:dyDescent="0.3">
      <c r="D86" s="9"/>
      <c r="G86" s="9"/>
    </row>
    <row r="87" spans="4:7" ht="23.25" customHeight="1" x14ac:dyDescent="0.3">
      <c r="D87" s="9"/>
      <c r="G87" s="9"/>
    </row>
    <row r="88" spans="4:7" ht="23.25" customHeight="1" x14ac:dyDescent="0.3">
      <c r="D88" s="9"/>
      <c r="G88" s="9"/>
    </row>
    <row r="89" spans="4:7" ht="23.25" customHeight="1" x14ac:dyDescent="0.3">
      <c r="D89" s="9"/>
      <c r="G89" s="9"/>
    </row>
    <row r="90" spans="4:7" ht="23.25" customHeight="1" x14ac:dyDescent="0.3">
      <c r="D90" s="9"/>
      <c r="G90" s="9"/>
    </row>
    <row r="91" spans="4:7" ht="23.25" customHeight="1" x14ac:dyDescent="0.3">
      <c r="D91" s="9"/>
      <c r="G91" s="9"/>
    </row>
    <row r="92" spans="4:7" ht="23.25" customHeight="1" x14ac:dyDescent="0.3">
      <c r="D92" s="9"/>
      <c r="G92" s="9"/>
    </row>
    <row r="93" spans="4:7" ht="23.25" customHeight="1" x14ac:dyDescent="0.3">
      <c r="D93" s="9"/>
      <c r="G93" s="9"/>
    </row>
    <row r="94" spans="4:7" ht="23.25" customHeight="1" x14ac:dyDescent="0.3">
      <c r="D94" s="9"/>
      <c r="G94" s="9"/>
    </row>
    <row r="95" spans="4:7" ht="23.25" customHeight="1" x14ac:dyDescent="0.3">
      <c r="D95" s="9"/>
      <c r="G95" s="9"/>
    </row>
    <row r="96" spans="4:7" ht="23.25" customHeight="1" x14ac:dyDescent="0.3">
      <c r="D96" s="9"/>
      <c r="G96" s="9"/>
    </row>
    <row r="97" spans="4:7" ht="23.25" customHeight="1" x14ac:dyDescent="0.3">
      <c r="D97" s="9"/>
      <c r="G97" s="9"/>
    </row>
    <row r="98" spans="4:7" ht="23.25" customHeight="1" x14ac:dyDescent="0.3">
      <c r="D98" s="9"/>
      <c r="G98" s="9"/>
    </row>
    <row r="99" spans="4:7" ht="23.25" customHeight="1" x14ac:dyDescent="0.3">
      <c r="D99" s="9"/>
      <c r="G99" s="9"/>
    </row>
    <row r="100" spans="4:7" ht="23.25" customHeight="1" x14ac:dyDescent="0.3">
      <c r="D100" s="9"/>
      <c r="G100" s="9"/>
    </row>
    <row r="101" spans="4:7" ht="23.25" customHeight="1" x14ac:dyDescent="0.3">
      <c r="D101" s="9"/>
      <c r="G101" s="9"/>
    </row>
    <row r="102" spans="4:7" ht="23.25" customHeight="1" x14ac:dyDescent="0.3">
      <c r="D102" s="9"/>
      <c r="G102" s="9"/>
    </row>
    <row r="103" spans="4:7" ht="23.25" customHeight="1" x14ac:dyDescent="0.3">
      <c r="D103" s="9"/>
      <c r="G103" s="9"/>
    </row>
    <row r="104" spans="4:7" ht="23.25" customHeight="1" x14ac:dyDescent="0.3">
      <c r="D104" s="9"/>
      <c r="G104" s="9"/>
    </row>
    <row r="105" spans="4:7" ht="23.25" customHeight="1" x14ac:dyDescent="0.3">
      <c r="D105" s="9"/>
      <c r="G105" s="9"/>
    </row>
    <row r="106" spans="4:7" ht="23.25" customHeight="1" x14ac:dyDescent="0.3">
      <c r="D106" s="9"/>
      <c r="G106" s="9"/>
    </row>
    <row r="107" spans="4:7" ht="23.25" customHeight="1" x14ac:dyDescent="0.3">
      <c r="D107" s="9"/>
      <c r="G107" s="9"/>
    </row>
    <row r="108" spans="4:7" ht="23.25" customHeight="1" x14ac:dyDescent="0.3">
      <c r="D108" s="9"/>
      <c r="G108" s="9"/>
    </row>
    <row r="109" spans="4:7" ht="23.25" customHeight="1" x14ac:dyDescent="0.3">
      <c r="D109" s="9"/>
      <c r="G109" s="9"/>
    </row>
    <row r="110" spans="4:7" ht="23.25" customHeight="1" x14ac:dyDescent="0.3">
      <c r="D110" s="9"/>
      <c r="G110" s="9"/>
    </row>
    <row r="111" spans="4:7" ht="23.25" customHeight="1" x14ac:dyDescent="0.3">
      <c r="D111" s="9"/>
      <c r="G111" s="9"/>
    </row>
    <row r="112" spans="4:7" ht="23.25" customHeight="1" x14ac:dyDescent="0.3">
      <c r="D112" s="9"/>
      <c r="G112" s="9"/>
    </row>
    <row r="113" spans="4:7" ht="23.25" customHeight="1" x14ac:dyDescent="0.3">
      <c r="D113" s="9"/>
      <c r="G113" s="9"/>
    </row>
    <row r="114" spans="4:7" ht="23.25" customHeight="1" x14ac:dyDescent="0.3">
      <c r="D114" s="9"/>
      <c r="G114" s="9"/>
    </row>
    <row r="115" spans="4:7" ht="23.25" customHeight="1" x14ac:dyDescent="0.3">
      <c r="D115" s="9"/>
      <c r="G115" s="9"/>
    </row>
    <row r="116" spans="4:7" ht="23.25" customHeight="1" x14ac:dyDescent="0.3">
      <c r="D116" s="9"/>
      <c r="G116" s="9"/>
    </row>
    <row r="117" spans="4:7" ht="23.25" customHeight="1" x14ac:dyDescent="0.3">
      <c r="D117" s="9"/>
      <c r="G117" s="9"/>
    </row>
    <row r="118" spans="4:7" ht="23.25" customHeight="1" x14ac:dyDescent="0.3">
      <c r="D118" s="9"/>
      <c r="G118" s="9"/>
    </row>
    <row r="119" spans="4:7" ht="23.25" customHeight="1" x14ac:dyDescent="0.3">
      <c r="D119" s="9"/>
      <c r="G119" s="9"/>
    </row>
    <row r="120" spans="4:7" ht="23.25" customHeight="1" x14ac:dyDescent="0.3">
      <c r="D120" s="9"/>
      <c r="G120" s="9"/>
    </row>
    <row r="121" spans="4:7" ht="23.25" customHeight="1" x14ac:dyDescent="0.3">
      <c r="D121" s="9"/>
      <c r="G121" s="9"/>
    </row>
    <row r="122" spans="4:7" ht="23.25" customHeight="1" x14ac:dyDescent="0.3">
      <c r="D122" s="9"/>
      <c r="G122" s="9"/>
    </row>
    <row r="123" spans="4:7" ht="23.25" customHeight="1" x14ac:dyDescent="0.3">
      <c r="D123" s="9"/>
      <c r="G123" s="9"/>
    </row>
    <row r="124" spans="4:7" ht="23.25" customHeight="1" x14ac:dyDescent="0.3">
      <c r="D124" s="9"/>
      <c r="G124" s="9"/>
    </row>
    <row r="125" spans="4:7" ht="23.25" customHeight="1" x14ac:dyDescent="0.3">
      <c r="D125" s="9"/>
      <c r="G125" s="9"/>
    </row>
    <row r="126" spans="4:7" ht="23.25" customHeight="1" x14ac:dyDescent="0.3">
      <c r="D126" s="9"/>
      <c r="G126" s="9"/>
    </row>
    <row r="127" spans="4:7" ht="23.25" customHeight="1" x14ac:dyDescent="0.3">
      <c r="D127" s="9"/>
      <c r="G127" s="9"/>
    </row>
    <row r="128" spans="4:7" ht="23.25" customHeight="1" x14ac:dyDescent="0.3">
      <c r="D128" s="9"/>
      <c r="G128" s="9"/>
    </row>
    <row r="129" spans="4:7" ht="23.25" customHeight="1" x14ac:dyDescent="0.3">
      <c r="D129" s="9"/>
      <c r="G129" s="9"/>
    </row>
    <row r="130" spans="4:7" ht="23.25" customHeight="1" x14ac:dyDescent="0.3">
      <c r="D130" s="9"/>
      <c r="G130" s="9"/>
    </row>
    <row r="131" spans="4:7" ht="23.25" customHeight="1" x14ac:dyDescent="0.3">
      <c r="D131" s="9"/>
      <c r="G131" s="9"/>
    </row>
    <row r="132" spans="4:7" ht="23.25" customHeight="1" x14ac:dyDescent="0.3">
      <c r="D132" s="9"/>
      <c r="G132" s="9"/>
    </row>
    <row r="133" spans="4:7" ht="23.25" customHeight="1" x14ac:dyDescent="0.3">
      <c r="D133" s="9"/>
      <c r="G133" s="9"/>
    </row>
    <row r="134" spans="4:7" ht="23.25" customHeight="1" x14ac:dyDescent="0.3">
      <c r="D134" s="9"/>
      <c r="G134" s="9"/>
    </row>
    <row r="135" spans="4:7" ht="23.25" customHeight="1" x14ac:dyDescent="0.3">
      <c r="D135" s="9"/>
      <c r="G135" s="9"/>
    </row>
    <row r="136" spans="4:7" ht="23.25" customHeight="1" x14ac:dyDescent="0.3">
      <c r="D136" s="9"/>
      <c r="G136" s="9"/>
    </row>
    <row r="137" spans="4:7" ht="23.25" customHeight="1" x14ac:dyDescent="0.3">
      <c r="D137" s="9"/>
      <c r="G137" s="9"/>
    </row>
    <row r="138" spans="4:7" ht="23.25" customHeight="1" x14ac:dyDescent="0.3">
      <c r="D138" s="9"/>
      <c r="G138" s="9"/>
    </row>
    <row r="139" spans="4:7" ht="23.25" customHeight="1" x14ac:dyDescent="0.3">
      <c r="D139" s="9"/>
      <c r="G139" s="9"/>
    </row>
    <row r="140" spans="4:7" ht="23.25" customHeight="1" x14ac:dyDescent="0.3">
      <c r="D140" s="9"/>
      <c r="G140" s="9"/>
    </row>
    <row r="141" spans="4:7" ht="23.25" customHeight="1" x14ac:dyDescent="0.3">
      <c r="D141" s="9"/>
      <c r="G141" s="9"/>
    </row>
    <row r="142" spans="4:7" ht="23.25" customHeight="1" x14ac:dyDescent="0.3">
      <c r="D142" s="9"/>
      <c r="G142" s="9"/>
    </row>
    <row r="143" spans="4:7" ht="23.25" customHeight="1" x14ac:dyDescent="0.3">
      <c r="D143" s="9"/>
      <c r="G143" s="9"/>
    </row>
    <row r="144" spans="4:7" ht="23.25" customHeight="1" x14ac:dyDescent="0.3">
      <c r="D144" s="9"/>
      <c r="G144" s="9"/>
    </row>
    <row r="145" spans="4:7" ht="23.25" customHeight="1" x14ac:dyDescent="0.3">
      <c r="D145" s="9"/>
      <c r="G145" s="9"/>
    </row>
    <row r="146" spans="4:7" ht="23.25" customHeight="1" x14ac:dyDescent="0.3">
      <c r="D146" s="9"/>
      <c r="G146" s="9"/>
    </row>
    <row r="147" spans="4:7" ht="23.25" customHeight="1" x14ac:dyDescent="0.3">
      <c r="D147" s="9"/>
      <c r="G147" s="9"/>
    </row>
    <row r="148" spans="4:7" ht="23.25" customHeight="1" x14ac:dyDescent="0.3">
      <c r="D148" s="9"/>
      <c r="G148" s="9"/>
    </row>
    <row r="149" spans="4:7" ht="23.25" customHeight="1" x14ac:dyDescent="0.3">
      <c r="D149" s="9"/>
      <c r="G149" s="9"/>
    </row>
    <row r="150" spans="4:7" ht="23.25" customHeight="1" x14ac:dyDescent="0.3">
      <c r="D150" s="9"/>
      <c r="G150" s="9"/>
    </row>
    <row r="151" spans="4:7" ht="23.25" customHeight="1" x14ac:dyDescent="0.3">
      <c r="D151" s="9"/>
      <c r="G151" s="9"/>
    </row>
    <row r="152" spans="4:7" ht="23.25" customHeight="1" x14ac:dyDescent="0.3">
      <c r="D152" s="9"/>
      <c r="G152" s="9"/>
    </row>
    <row r="153" spans="4:7" ht="23.25" customHeight="1" x14ac:dyDescent="0.3">
      <c r="D153" s="9"/>
      <c r="G153" s="9"/>
    </row>
    <row r="154" spans="4:7" ht="23.25" customHeight="1" x14ac:dyDescent="0.3">
      <c r="D154" s="9"/>
      <c r="G154" s="9"/>
    </row>
    <row r="155" spans="4:7" ht="23.25" customHeight="1" x14ac:dyDescent="0.3">
      <c r="D155" s="9"/>
      <c r="G155" s="9"/>
    </row>
    <row r="156" spans="4:7" ht="23.25" customHeight="1" x14ac:dyDescent="0.3">
      <c r="D156" s="9"/>
      <c r="G156" s="9"/>
    </row>
    <row r="157" spans="4:7" ht="23.25" customHeight="1" x14ac:dyDescent="0.3">
      <c r="D157" s="9"/>
      <c r="G157" s="9"/>
    </row>
    <row r="158" spans="4:7" ht="23.25" customHeight="1" x14ac:dyDescent="0.3">
      <c r="D158" s="9"/>
      <c r="G158" s="9"/>
    </row>
    <row r="159" spans="4:7" ht="23.25" customHeight="1" x14ac:dyDescent="0.3">
      <c r="D159" s="9"/>
      <c r="G159" s="9"/>
    </row>
    <row r="160" spans="4:7" ht="23.25" customHeight="1" x14ac:dyDescent="0.3">
      <c r="D160" s="9"/>
      <c r="G160" s="9"/>
    </row>
    <row r="161" spans="4:7" ht="23.25" customHeight="1" x14ac:dyDescent="0.3">
      <c r="D161" s="9"/>
      <c r="G161" s="9"/>
    </row>
    <row r="162" spans="4:7" ht="23.25" customHeight="1" x14ac:dyDescent="0.3">
      <c r="D162" s="9"/>
      <c r="G162" s="9"/>
    </row>
    <row r="163" spans="4:7" ht="23.25" customHeight="1" x14ac:dyDescent="0.3">
      <c r="D163" s="9"/>
      <c r="G163" s="9"/>
    </row>
    <row r="164" spans="4:7" ht="23.25" customHeight="1" x14ac:dyDescent="0.3">
      <c r="D164" s="9"/>
      <c r="G164" s="9"/>
    </row>
    <row r="165" spans="4:7" ht="23.25" customHeight="1" x14ac:dyDescent="0.3">
      <c r="D165" s="9"/>
      <c r="G165" s="9"/>
    </row>
    <row r="166" spans="4:7" ht="23.25" customHeight="1" x14ac:dyDescent="0.3">
      <c r="D166" s="9"/>
      <c r="G166" s="9"/>
    </row>
    <row r="167" spans="4:7" ht="23.25" customHeight="1" x14ac:dyDescent="0.3">
      <c r="D167" s="9"/>
      <c r="G167" s="9"/>
    </row>
    <row r="168" spans="4:7" ht="23.25" customHeight="1" x14ac:dyDescent="0.3">
      <c r="D168" s="9"/>
      <c r="G168" s="9"/>
    </row>
    <row r="169" spans="4:7" ht="23.25" customHeight="1" x14ac:dyDescent="0.3">
      <c r="D169" s="9"/>
      <c r="G169" s="9"/>
    </row>
    <row r="170" spans="4:7" ht="23.25" customHeight="1" x14ac:dyDescent="0.3">
      <c r="D170" s="9"/>
      <c r="G170" s="9"/>
    </row>
    <row r="171" spans="4:7" ht="23.25" customHeight="1" x14ac:dyDescent="0.3">
      <c r="D171" s="9"/>
      <c r="G171" s="9"/>
    </row>
    <row r="172" spans="4:7" ht="23.25" customHeight="1" x14ac:dyDescent="0.3">
      <c r="D172" s="9"/>
      <c r="G172" s="9"/>
    </row>
    <row r="173" spans="4:7" ht="23.25" customHeight="1" x14ac:dyDescent="0.3">
      <c r="D173" s="9"/>
      <c r="G173" s="9"/>
    </row>
    <row r="174" spans="4:7" ht="23.25" customHeight="1" x14ac:dyDescent="0.3">
      <c r="D174" s="9"/>
      <c r="G174" s="9"/>
    </row>
    <row r="175" spans="4:7" ht="23.25" customHeight="1" x14ac:dyDescent="0.3">
      <c r="D175" s="9"/>
      <c r="G175" s="9"/>
    </row>
    <row r="176" spans="4:7" ht="23.25" customHeight="1" x14ac:dyDescent="0.3">
      <c r="D176" s="9"/>
      <c r="G176" s="9"/>
    </row>
    <row r="177" spans="4:7" ht="23.25" customHeight="1" x14ac:dyDescent="0.3">
      <c r="D177" s="9"/>
      <c r="G177" s="9"/>
    </row>
    <row r="178" spans="4:7" ht="23.25" customHeight="1" x14ac:dyDescent="0.3">
      <c r="D178" s="9"/>
      <c r="G178" s="9"/>
    </row>
    <row r="179" spans="4:7" ht="23.25" customHeight="1" x14ac:dyDescent="0.3">
      <c r="D179" s="9"/>
      <c r="G179" s="9"/>
    </row>
    <row r="180" spans="4:7" ht="23.25" customHeight="1" x14ac:dyDescent="0.3">
      <c r="D180" s="9"/>
      <c r="G180" s="9"/>
    </row>
    <row r="181" spans="4:7" ht="23.25" customHeight="1" x14ac:dyDescent="0.3">
      <c r="D181" s="9"/>
      <c r="G181" s="9"/>
    </row>
    <row r="182" spans="4:7" ht="23.25" customHeight="1" x14ac:dyDescent="0.3">
      <c r="D182" s="9"/>
      <c r="G182" s="9"/>
    </row>
    <row r="183" spans="4:7" ht="23.25" customHeight="1" x14ac:dyDescent="0.3">
      <c r="D183" s="9"/>
      <c r="G183" s="9"/>
    </row>
    <row r="184" spans="4:7" ht="23.25" customHeight="1" x14ac:dyDescent="0.3">
      <c r="D184" s="9"/>
      <c r="G184" s="9"/>
    </row>
    <row r="185" spans="4:7" ht="23.25" customHeight="1" x14ac:dyDescent="0.3">
      <c r="D185" s="9"/>
      <c r="G185" s="9"/>
    </row>
    <row r="186" spans="4:7" ht="23.25" customHeight="1" x14ac:dyDescent="0.3">
      <c r="D186" s="9"/>
      <c r="G186" s="9"/>
    </row>
    <row r="187" spans="4:7" ht="23.25" customHeight="1" x14ac:dyDescent="0.3">
      <c r="D187" s="9"/>
      <c r="G187" s="9"/>
    </row>
    <row r="188" spans="4:7" ht="23.25" customHeight="1" x14ac:dyDescent="0.3">
      <c r="D188" s="9"/>
      <c r="G188" s="9"/>
    </row>
    <row r="189" spans="4:7" ht="23.25" customHeight="1" x14ac:dyDescent="0.3">
      <c r="D189" s="9"/>
      <c r="G189" s="9"/>
    </row>
    <row r="190" spans="4:7" ht="23.25" customHeight="1" x14ac:dyDescent="0.3">
      <c r="D190" s="9"/>
      <c r="G190" s="9"/>
    </row>
    <row r="191" spans="4:7" ht="23.25" customHeight="1" x14ac:dyDescent="0.3">
      <c r="D191" s="9"/>
      <c r="G191" s="9"/>
    </row>
    <row r="192" spans="4:7" ht="23.25" customHeight="1" x14ac:dyDescent="0.3">
      <c r="D192" s="9"/>
      <c r="G192" s="9"/>
    </row>
    <row r="193" spans="4:7" ht="23.25" customHeight="1" x14ac:dyDescent="0.3">
      <c r="D193" s="9"/>
      <c r="G193" s="9"/>
    </row>
    <row r="194" spans="4:7" ht="23.25" customHeight="1" x14ac:dyDescent="0.3">
      <c r="D194" s="9"/>
      <c r="G194" s="9"/>
    </row>
    <row r="195" spans="4:7" ht="23.25" customHeight="1" x14ac:dyDescent="0.3">
      <c r="D195" s="9"/>
      <c r="G195" s="9"/>
    </row>
    <row r="196" spans="4:7" ht="23.25" customHeight="1" x14ac:dyDescent="0.3">
      <c r="D196" s="9"/>
      <c r="G196" s="9"/>
    </row>
    <row r="197" spans="4:7" ht="23.25" customHeight="1" x14ac:dyDescent="0.3">
      <c r="D197" s="9"/>
      <c r="G197" s="9"/>
    </row>
    <row r="198" spans="4:7" ht="23.25" customHeight="1" x14ac:dyDescent="0.3">
      <c r="D198" s="9"/>
      <c r="G198" s="9"/>
    </row>
    <row r="199" spans="4:7" ht="23.25" customHeight="1" x14ac:dyDescent="0.3">
      <c r="D199" s="9"/>
      <c r="G199" s="9"/>
    </row>
    <row r="200" spans="4:7" ht="23.25" customHeight="1" x14ac:dyDescent="0.3">
      <c r="D200" s="9"/>
      <c r="G200" s="9"/>
    </row>
    <row r="201" spans="4:7" ht="23.25" customHeight="1" x14ac:dyDescent="0.3">
      <c r="D201" s="9"/>
      <c r="G201" s="9"/>
    </row>
    <row r="202" spans="4:7" ht="23.25" customHeight="1" x14ac:dyDescent="0.3">
      <c r="D202" s="9"/>
      <c r="G202" s="9"/>
    </row>
    <row r="203" spans="4:7" ht="23.25" customHeight="1" x14ac:dyDescent="0.3">
      <c r="D203" s="9"/>
      <c r="G203" s="9"/>
    </row>
    <row r="204" spans="4:7" ht="23.25" customHeight="1" x14ac:dyDescent="0.3">
      <c r="D204" s="9"/>
      <c r="G204" s="9"/>
    </row>
    <row r="205" spans="4:7" ht="23.25" customHeight="1" x14ac:dyDescent="0.3">
      <c r="D205" s="9"/>
      <c r="G205" s="9"/>
    </row>
    <row r="206" spans="4:7" ht="23.25" customHeight="1" x14ac:dyDescent="0.3">
      <c r="D206" s="9"/>
      <c r="G206" s="9"/>
    </row>
    <row r="207" spans="4:7" ht="23.25" customHeight="1" x14ac:dyDescent="0.3">
      <c r="D207" s="9"/>
      <c r="G207" s="9"/>
    </row>
    <row r="208" spans="4:7" ht="23.25" customHeight="1" x14ac:dyDescent="0.3">
      <c r="D208" s="9"/>
      <c r="G208" s="9"/>
    </row>
    <row r="209" spans="4:7" ht="23.25" customHeight="1" x14ac:dyDescent="0.3">
      <c r="D209" s="9"/>
      <c r="G209" s="9"/>
    </row>
    <row r="210" spans="4:7" ht="23.25" customHeight="1" x14ac:dyDescent="0.3">
      <c r="D210" s="9"/>
      <c r="G210" s="9"/>
    </row>
    <row r="211" spans="4:7" ht="23.25" customHeight="1" x14ac:dyDescent="0.3">
      <c r="D211" s="9"/>
      <c r="G211" s="9"/>
    </row>
    <row r="212" spans="4:7" ht="23.25" customHeight="1" x14ac:dyDescent="0.3">
      <c r="D212" s="9"/>
      <c r="G212" s="9"/>
    </row>
    <row r="213" spans="4:7" ht="23.25" customHeight="1" x14ac:dyDescent="0.3">
      <c r="D213" s="9"/>
      <c r="G213" s="9"/>
    </row>
    <row r="214" spans="4:7" ht="23.25" customHeight="1" x14ac:dyDescent="0.3">
      <c r="D214" s="9"/>
      <c r="G214" s="9"/>
    </row>
    <row r="215" spans="4:7" ht="23.25" customHeight="1" x14ac:dyDescent="0.3">
      <c r="D215" s="9"/>
      <c r="G215" s="9"/>
    </row>
    <row r="216" spans="4:7" ht="23.25" customHeight="1" x14ac:dyDescent="0.3">
      <c r="D216" s="9"/>
      <c r="G216" s="9"/>
    </row>
    <row r="217" spans="4:7" ht="23.25" customHeight="1" x14ac:dyDescent="0.3">
      <c r="D217" s="9"/>
      <c r="G217" s="9"/>
    </row>
    <row r="218" spans="4:7" ht="23.25" customHeight="1" x14ac:dyDescent="0.3">
      <c r="D218" s="9"/>
      <c r="G218" s="9"/>
    </row>
    <row r="219" spans="4:7" ht="23.25" customHeight="1" x14ac:dyDescent="0.3">
      <c r="D219" s="9"/>
      <c r="G219" s="9"/>
    </row>
    <row r="220" spans="4:7" ht="23.25" customHeight="1" x14ac:dyDescent="0.3">
      <c r="D220" s="9"/>
      <c r="G220" s="9"/>
    </row>
    <row r="221" spans="4:7" ht="23.25" customHeight="1" x14ac:dyDescent="0.3">
      <c r="D221" s="9"/>
      <c r="G221" s="9"/>
    </row>
    <row r="222" spans="4:7" ht="23.25" customHeight="1" x14ac:dyDescent="0.3">
      <c r="D222" s="9"/>
      <c r="G222" s="9"/>
    </row>
    <row r="223" spans="4:7" ht="23.25" customHeight="1" x14ac:dyDescent="0.3">
      <c r="D223" s="9"/>
      <c r="G223" s="9"/>
    </row>
    <row r="224" spans="4:7" ht="23.25" customHeight="1" x14ac:dyDescent="0.3">
      <c r="D224" s="9"/>
      <c r="G224" s="9"/>
    </row>
    <row r="225" spans="4:7" ht="23.25" customHeight="1" x14ac:dyDescent="0.3">
      <c r="D225" s="9"/>
      <c r="G225" s="9"/>
    </row>
    <row r="226" spans="4:7" ht="23.25" customHeight="1" x14ac:dyDescent="0.3">
      <c r="D226" s="9"/>
      <c r="G226" s="9"/>
    </row>
    <row r="227" spans="4:7" ht="23.25" customHeight="1" x14ac:dyDescent="0.3">
      <c r="D227" s="9"/>
      <c r="G227" s="9"/>
    </row>
    <row r="228" spans="4:7" ht="23.25" customHeight="1" x14ac:dyDescent="0.3">
      <c r="D228" s="9"/>
      <c r="G228" s="9"/>
    </row>
    <row r="229" spans="4:7" ht="23.25" customHeight="1" x14ac:dyDescent="0.3">
      <c r="D229" s="9"/>
      <c r="G229" s="9"/>
    </row>
    <row r="230" spans="4:7" ht="23.25" customHeight="1" x14ac:dyDescent="0.3">
      <c r="D230" s="9"/>
      <c r="G230" s="9"/>
    </row>
    <row r="231" spans="4:7" ht="23.25" customHeight="1" x14ac:dyDescent="0.3">
      <c r="D231" s="9"/>
      <c r="G231" s="9"/>
    </row>
    <row r="232" spans="4:7" ht="23.25" customHeight="1" x14ac:dyDescent="0.3">
      <c r="D232" s="9"/>
      <c r="G232" s="9"/>
    </row>
    <row r="233" spans="4:7" ht="23.25" customHeight="1" x14ac:dyDescent="0.3">
      <c r="D233" s="9"/>
      <c r="G233" s="9"/>
    </row>
    <row r="234" spans="4:7" ht="23.25" customHeight="1" x14ac:dyDescent="0.3">
      <c r="D234" s="9"/>
      <c r="G234" s="9"/>
    </row>
    <row r="235" spans="4:7" ht="23.25" customHeight="1" x14ac:dyDescent="0.3">
      <c r="D235" s="9"/>
      <c r="G235" s="9"/>
    </row>
    <row r="236" spans="4:7" ht="23.25" customHeight="1" x14ac:dyDescent="0.3">
      <c r="D236" s="9"/>
      <c r="G236" s="9"/>
    </row>
    <row r="237" spans="4:7" ht="23.25" customHeight="1" x14ac:dyDescent="0.3">
      <c r="D237" s="9"/>
      <c r="G237" s="9"/>
    </row>
    <row r="238" spans="4:7" ht="23.25" customHeight="1" x14ac:dyDescent="0.3">
      <c r="D238" s="9"/>
      <c r="G238" s="9"/>
    </row>
    <row r="239" spans="4:7" ht="23.25" customHeight="1" x14ac:dyDescent="0.3">
      <c r="D239" s="9"/>
      <c r="G239" s="9"/>
    </row>
    <row r="240" spans="4:7" ht="23.25" customHeight="1" x14ac:dyDescent="0.3">
      <c r="D240" s="9"/>
      <c r="G240" s="9"/>
    </row>
    <row r="241" spans="4:7" ht="23.25" customHeight="1" x14ac:dyDescent="0.3">
      <c r="D241" s="9"/>
      <c r="G241" s="9"/>
    </row>
    <row r="242" spans="4:7" ht="23.25" customHeight="1" x14ac:dyDescent="0.3">
      <c r="D242" s="9"/>
      <c r="G242" s="9"/>
    </row>
    <row r="243" spans="4:7" ht="23.25" customHeight="1" x14ac:dyDescent="0.3">
      <c r="D243" s="9"/>
      <c r="G243" s="9"/>
    </row>
    <row r="244" spans="4:7" ht="23.25" customHeight="1" x14ac:dyDescent="0.3">
      <c r="D244" s="9"/>
      <c r="G244" s="9"/>
    </row>
    <row r="245" spans="4:7" ht="23.25" customHeight="1" x14ac:dyDescent="0.3">
      <c r="D245" s="9"/>
      <c r="G245" s="9"/>
    </row>
    <row r="246" spans="4:7" ht="23.25" customHeight="1" x14ac:dyDescent="0.3">
      <c r="D246" s="9"/>
      <c r="G246" s="9"/>
    </row>
    <row r="247" spans="4:7" ht="23.25" customHeight="1" x14ac:dyDescent="0.3">
      <c r="D247" s="9"/>
      <c r="G247" s="9"/>
    </row>
    <row r="248" spans="4:7" ht="23.25" customHeight="1" x14ac:dyDescent="0.3">
      <c r="D248" s="9"/>
      <c r="G248" s="9"/>
    </row>
    <row r="249" spans="4:7" ht="23.25" customHeight="1" x14ac:dyDescent="0.3">
      <c r="D249" s="9"/>
      <c r="G249" s="9"/>
    </row>
    <row r="250" spans="4:7" ht="23.25" customHeight="1" x14ac:dyDescent="0.3">
      <c r="D250" s="9"/>
      <c r="G250" s="9"/>
    </row>
    <row r="251" spans="4:7" ht="23.25" customHeight="1" x14ac:dyDescent="0.3">
      <c r="D251" s="9"/>
      <c r="G251" s="9"/>
    </row>
    <row r="252" spans="4:7" ht="23.25" customHeight="1" x14ac:dyDescent="0.3">
      <c r="D252" s="9"/>
      <c r="G252" s="9"/>
    </row>
    <row r="253" spans="4:7" ht="23.25" customHeight="1" x14ac:dyDescent="0.3">
      <c r="D253" s="9"/>
      <c r="G253" s="9"/>
    </row>
    <row r="254" spans="4:7" ht="23.25" customHeight="1" x14ac:dyDescent="0.3">
      <c r="D254" s="9"/>
      <c r="G254" s="9"/>
    </row>
    <row r="255" spans="4:7" ht="23.25" customHeight="1" x14ac:dyDescent="0.3">
      <c r="D255" s="9"/>
      <c r="G255" s="9"/>
    </row>
    <row r="256" spans="4:7" ht="23.25" customHeight="1" x14ac:dyDescent="0.3">
      <c r="D256" s="9"/>
      <c r="G256" s="9"/>
    </row>
    <row r="257" spans="4:7" ht="23.25" customHeight="1" x14ac:dyDescent="0.3">
      <c r="D257" s="9"/>
      <c r="G257" s="9"/>
    </row>
    <row r="258" spans="4:7" ht="23.25" customHeight="1" x14ac:dyDescent="0.3">
      <c r="D258" s="9"/>
      <c r="G258" s="9"/>
    </row>
    <row r="259" spans="4:7" ht="23.25" customHeight="1" x14ac:dyDescent="0.3">
      <c r="D259" s="9"/>
      <c r="G259" s="9"/>
    </row>
    <row r="260" spans="4:7" ht="23.25" customHeight="1" x14ac:dyDescent="0.3">
      <c r="D260" s="9"/>
      <c r="G260" s="9"/>
    </row>
    <row r="261" spans="4:7" ht="23.25" customHeight="1" x14ac:dyDescent="0.3">
      <c r="D261" s="9"/>
      <c r="G261" s="9"/>
    </row>
    <row r="262" spans="4:7" ht="23.25" customHeight="1" x14ac:dyDescent="0.3">
      <c r="D262" s="9"/>
      <c r="G262" s="9"/>
    </row>
    <row r="263" spans="4:7" ht="23.25" customHeight="1" x14ac:dyDescent="0.3">
      <c r="D263" s="9"/>
      <c r="G263" s="9"/>
    </row>
    <row r="264" spans="4:7" ht="23.25" customHeight="1" x14ac:dyDescent="0.3">
      <c r="D264" s="9"/>
      <c r="G264" s="9"/>
    </row>
    <row r="265" spans="4:7" ht="23.25" customHeight="1" x14ac:dyDescent="0.3">
      <c r="D265" s="9"/>
      <c r="G265" s="9"/>
    </row>
    <row r="266" spans="4:7" ht="23.25" customHeight="1" x14ac:dyDescent="0.3">
      <c r="D266" s="9"/>
      <c r="G266" s="9"/>
    </row>
    <row r="267" spans="4:7" ht="23.25" customHeight="1" x14ac:dyDescent="0.3">
      <c r="D267" s="9"/>
      <c r="G267" s="9"/>
    </row>
    <row r="268" spans="4:7" ht="23.25" customHeight="1" x14ac:dyDescent="0.3">
      <c r="D268" s="9"/>
      <c r="G268" s="9"/>
    </row>
    <row r="269" spans="4:7" ht="23.25" customHeight="1" x14ac:dyDescent="0.3">
      <c r="D269" s="9"/>
      <c r="G269" s="9"/>
    </row>
    <row r="270" spans="4:7" ht="23.25" customHeight="1" x14ac:dyDescent="0.3">
      <c r="D270" s="9"/>
      <c r="G270" s="9"/>
    </row>
    <row r="271" spans="4:7" ht="23.25" customHeight="1" x14ac:dyDescent="0.3">
      <c r="D271" s="9"/>
      <c r="G271" s="9"/>
    </row>
    <row r="272" spans="4:7" ht="23.25" customHeight="1" x14ac:dyDescent="0.3">
      <c r="D272" s="9"/>
      <c r="G272" s="9"/>
    </row>
    <row r="273" spans="4:7" ht="23.25" customHeight="1" x14ac:dyDescent="0.3">
      <c r="D273" s="9"/>
      <c r="G273" s="9"/>
    </row>
    <row r="274" spans="4:7" ht="23.25" customHeight="1" x14ac:dyDescent="0.3">
      <c r="D274" s="9"/>
      <c r="G274" s="9"/>
    </row>
    <row r="275" spans="4:7" ht="23.25" customHeight="1" x14ac:dyDescent="0.3">
      <c r="D275" s="9"/>
      <c r="G275" s="9"/>
    </row>
    <row r="276" spans="4:7" ht="23.25" customHeight="1" x14ac:dyDescent="0.3">
      <c r="D276" s="9"/>
      <c r="G276" s="9"/>
    </row>
    <row r="277" spans="4:7" ht="23.25" customHeight="1" x14ac:dyDescent="0.3">
      <c r="D277" s="9"/>
      <c r="G277" s="9"/>
    </row>
    <row r="278" spans="4:7" ht="23.25" customHeight="1" x14ac:dyDescent="0.3">
      <c r="D278" s="9"/>
      <c r="G278" s="9"/>
    </row>
    <row r="279" spans="4:7" ht="23.25" customHeight="1" x14ac:dyDescent="0.3">
      <c r="D279" s="9"/>
      <c r="G279" s="9"/>
    </row>
    <row r="280" spans="4:7" ht="23.25" customHeight="1" x14ac:dyDescent="0.3">
      <c r="D280" s="9"/>
      <c r="G280" s="9"/>
    </row>
    <row r="281" spans="4:7" ht="23.25" customHeight="1" x14ac:dyDescent="0.3">
      <c r="D281" s="9"/>
      <c r="G281" s="9"/>
    </row>
    <row r="282" spans="4:7" ht="23.25" customHeight="1" x14ac:dyDescent="0.3">
      <c r="D282" s="9"/>
      <c r="G282" s="9"/>
    </row>
    <row r="283" spans="4:7" ht="23.25" customHeight="1" x14ac:dyDescent="0.3">
      <c r="D283" s="9"/>
      <c r="G283" s="9"/>
    </row>
    <row r="284" spans="4:7" ht="23.25" customHeight="1" x14ac:dyDescent="0.3">
      <c r="D284" s="9"/>
      <c r="G284" s="9"/>
    </row>
    <row r="285" spans="4:7" ht="23.25" customHeight="1" x14ac:dyDescent="0.3">
      <c r="D285" s="9"/>
      <c r="G285" s="9"/>
    </row>
    <row r="286" spans="4:7" ht="23.25" customHeight="1" x14ac:dyDescent="0.3">
      <c r="D286" s="9"/>
      <c r="G286" s="9"/>
    </row>
    <row r="287" spans="4:7" ht="23.25" customHeight="1" x14ac:dyDescent="0.3">
      <c r="D287" s="9"/>
      <c r="G287" s="9"/>
    </row>
    <row r="288" spans="4:7" ht="23.25" customHeight="1" x14ac:dyDescent="0.3">
      <c r="D288" s="9"/>
      <c r="G288" s="9"/>
    </row>
    <row r="289" spans="4:7" ht="23.25" customHeight="1" x14ac:dyDescent="0.3">
      <c r="D289" s="9"/>
      <c r="G289" s="9"/>
    </row>
    <row r="290" spans="4:7" ht="23.25" customHeight="1" x14ac:dyDescent="0.3">
      <c r="D290" s="9"/>
      <c r="G290" s="9"/>
    </row>
    <row r="291" spans="4:7" ht="23.25" customHeight="1" x14ac:dyDescent="0.3">
      <c r="D291" s="9"/>
      <c r="G291" s="9"/>
    </row>
    <row r="292" spans="4:7" ht="23.25" customHeight="1" x14ac:dyDescent="0.3">
      <c r="D292" s="9"/>
      <c r="G292" s="9"/>
    </row>
    <row r="293" spans="4:7" ht="23.25" customHeight="1" x14ac:dyDescent="0.3">
      <c r="D293" s="9"/>
      <c r="G293" s="9"/>
    </row>
    <row r="294" spans="4:7" ht="23.25" customHeight="1" x14ac:dyDescent="0.3">
      <c r="D294" s="9"/>
      <c r="G294" s="9"/>
    </row>
    <row r="295" spans="4:7" ht="23.25" customHeight="1" x14ac:dyDescent="0.3">
      <c r="D295" s="9"/>
      <c r="G295" s="9"/>
    </row>
    <row r="296" spans="4:7" ht="23.25" customHeight="1" x14ac:dyDescent="0.3">
      <c r="D296" s="9"/>
      <c r="G296" s="9"/>
    </row>
    <row r="297" spans="4:7" ht="23.25" customHeight="1" x14ac:dyDescent="0.3">
      <c r="D297" s="9"/>
      <c r="G297" s="9"/>
    </row>
    <row r="298" spans="4:7" ht="23.25" customHeight="1" x14ac:dyDescent="0.3">
      <c r="D298" s="9"/>
      <c r="G298" s="9"/>
    </row>
    <row r="299" spans="4:7" ht="23.25" customHeight="1" x14ac:dyDescent="0.3">
      <c r="D299" s="9"/>
      <c r="G299" s="9"/>
    </row>
    <row r="300" spans="4:7" ht="23.25" customHeight="1" x14ac:dyDescent="0.3">
      <c r="D300" s="9"/>
      <c r="G300" s="9"/>
    </row>
    <row r="301" spans="4:7" ht="23.25" customHeight="1" x14ac:dyDescent="0.3">
      <c r="D301" s="9"/>
      <c r="G301" s="9"/>
    </row>
    <row r="302" spans="4:7" ht="23.25" customHeight="1" x14ac:dyDescent="0.3">
      <c r="D302" s="9"/>
      <c r="G302" s="9"/>
    </row>
    <row r="303" spans="4:7" ht="23.25" customHeight="1" x14ac:dyDescent="0.3">
      <c r="D303" s="9"/>
      <c r="G303" s="9"/>
    </row>
    <row r="304" spans="4:7" ht="23.25" customHeight="1" x14ac:dyDescent="0.3">
      <c r="D304" s="9"/>
      <c r="G304" s="9"/>
    </row>
    <row r="305" spans="4:7" ht="23.25" customHeight="1" x14ac:dyDescent="0.3">
      <c r="D305" s="9"/>
      <c r="G305" s="9"/>
    </row>
    <row r="306" spans="4:7" ht="23.25" customHeight="1" x14ac:dyDescent="0.3">
      <c r="D306" s="9"/>
      <c r="G306" s="9"/>
    </row>
    <row r="307" spans="4:7" ht="23.25" customHeight="1" x14ac:dyDescent="0.3">
      <c r="D307" s="9"/>
      <c r="G307" s="9"/>
    </row>
    <row r="308" spans="4:7" ht="23.25" customHeight="1" x14ac:dyDescent="0.3">
      <c r="D308" s="9"/>
      <c r="G308" s="9"/>
    </row>
    <row r="309" spans="4:7" ht="23.25" customHeight="1" x14ac:dyDescent="0.3">
      <c r="D309" s="9"/>
      <c r="G309" s="9"/>
    </row>
    <row r="310" spans="4:7" ht="23.25" customHeight="1" x14ac:dyDescent="0.3">
      <c r="D310" s="9"/>
      <c r="G310" s="9"/>
    </row>
    <row r="311" spans="4:7" ht="23.25" customHeight="1" x14ac:dyDescent="0.3">
      <c r="D311" s="9"/>
      <c r="G311" s="9"/>
    </row>
    <row r="312" spans="4:7" ht="23.25" customHeight="1" x14ac:dyDescent="0.3">
      <c r="D312" s="9"/>
      <c r="G312" s="9"/>
    </row>
    <row r="313" spans="4:7" ht="23.25" customHeight="1" x14ac:dyDescent="0.3">
      <c r="D313" s="9"/>
      <c r="G313" s="9"/>
    </row>
    <row r="314" spans="4:7" ht="23.25" customHeight="1" x14ac:dyDescent="0.3">
      <c r="D314" s="9"/>
      <c r="G314" s="9"/>
    </row>
    <row r="315" spans="4:7" ht="23.25" customHeight="1" x14ac:dyDescent="0.3">
      <c r="D315" s="9"/>
      <c r="G315" s="9"/>
    </row>
    <row r="316" spans="4:7" ht="23.25" customHeight="1" x14ac:dyDescent="0.3">
      <c r="D316" s="9"/>
      <c r="G316" s="9"/>
    </row>
    <row r="317" spans="4:7" ht="23.25" customHeight="1" x14ac:dyDescent="0.3">
      <c r="D317" s="9"/>
      <c r="G317" s="9"/>
    </row>
    <row r="318" spans="4:7" ht="23.25" customHeight="1" x14ac:dyDescent="0.3">
      <c r="D318" s="9"/>
      <c r="G318" s="9"/>
    </row>
    <row r="319" spans="4:7" ht="23.25" customHeight="1" x14ac:dyDescent="0.3">
      <c r="D319" s="9"/>
      <c r="G319" s="9"/>
    </row>
    <row r="320" spans="4:7" ht="23.25" customHeight="1" x14ac:dyDescent="0.3">
      <c r="D320" s="9"/>
      <c r="G320" s="9"/>
    </row>
    <row r="321" spans="4:7" ht="23.25" customHeight="1" x14ac:dyDescent="0.3">
      <c r="D321" s="9"/>
      <c r="G321" s="9"/>
    </row>
    <row r="322" spans="4:7" ht="23.25" customHeight="1" x14ac:dyDescent="0.3">
      <c r="D322" s="9"/>
      <c r="G322" s="9"/>
    </row>
    <row r="323" spans="4:7" ht="23.25" customHeight="1" x14ac:dyDescent="0.3">
      <c r="D323" s="9"/>
      <c r="G323" s="9"/>
    </row>
    <row r="324" spans="4:7" ht="23.25" customHeight="1" x14ac:dyDescent="0.3">
      <c r="D324" s="9"/>
      <c r="G324" s="9"/>
    </row>
    <row r="325" spans="4:7" ht="23.25" customHeight="1" x14ac:dyDescent="0.3">
      <c r="D325" s="9"/>
      <c r="G325" s="9"/>
    </row>
    <row r="326" spans="4:7" ht="23.25" customHeight="1" x14ac:dyDescent="0.3">
      <c r="D326" s="9"/>
      <c r="G326" s="9"/>
    </row>
    <row r="327" spans="4:7" ht="23.25" customHeight="1" x14ac:dyDescent="0.3">
      <c r="D327" s="9"/>
      <c r="G327" s="9"/>
    </row>
    <row r="328" spans="4:7" ht="23.25" customHeight="1" x14ac:dyDescent="0.3">
      <c r="D328" s="9"/>
      <c r="G328" s="9"/>
    </row>
    <row r="329" spans="4:7" ht="23.25" customHeight="1" x14ac:dyDescent="0.3">
      <c r="D329" s="9"/>
      <c r="G329" s="9"/>
    </row>
    <row r="330" spans="4:7" ht="23.25" customHeight="1" x14ac:dyDescent="0.3">
      <c r="D330" s="9"/>
      <c r="G330" s="9"/>
    </row>
    <row r="331" spans="4:7" ht="23.25" customHeight="1" x14ac:dyDescent="0.3">
      <c r="D331" s="9"/>
      <c r="G331" s="9"/>
    </row>
    <row r="332" spans="4:7" ht="23.25" customHeight="1" x14ac:dyDescent="0.3">
      <c r="D332" s="9"/>
      <c r="G332" s="9"/>
    </row>
    <row r="333" spans="4:7" ht="23.25" customHeight="1" x14ac:dyDescent="0.3">
      <c r="D333" s="9"/>
      <c r="G333" s="9"/>
    </row>
    <row r="334" spans="4:7" ht="23.25" customHeight="1" x14ac:dyDescent="0.3">
      <c r="D334" s="9"/>
      <c r="G334" s="9"/>
    </row>
    <row r="335" spans="4:7" ht="23.25" customHeight="1" x14ac:dyDescent="0.3">
      <c r="D335" s="9"/>
      <c r="G335" s="9"/>
    </row>
    <row r="336" spans="4:7" ht="23.25" customHeight="1" x14ac:dyDescent="0.3">
      <c r="D336" s="9"/>
      <c r="G336" s="9"/>
    </row>
    <row r="337" spans="4:7" ht="23.25" customHeight="1" x14ac:dyDescent="0.3">
      <c r="D337" s="9"/>
      <c r="G337" s="9"/>
    </row>
    <row r="338" spans="4:7" ht="23.25" customHeight="1" x14ac:dyDescent="0.3">
      <c r="D338" s="9"/>
      <c r="G338" s="9"/>
    </row>
    <row r="339" spans="4:7" ht="23.25" customHeight="1" x14ac:dyDescent="0.3">
      <c r="D339" s="9"/>
      <c r="G339" s="9"/>
    </row>
    <row r="340" spans="4:7" ht="23.25" customHeight="1" x14ac:dyDescent="0.3">
      <c r="D340" s="9"/>
      <c r="G340" s="9"/>
    </row>
    <row r="341" spans="4:7" ht="23.25" customHeight="1" x14ac:dyDescent="0.3">
      <c r="D341" s="9"/>
      <c r="G341" s="9"/>
    </row>
    <row r="342" spans="4:7" ht="23.25" customHeight="1" x14ac:dyDescent="0.3">
      <c r="D342" s="9"/>
      <c r="G342" s="9"/>
    </row>
    <row r="343" spans="4:7" ht="23.25" customHeight="1" x14ac:dyDescent="0.3">
      <c r="D343" s="9"/>
      <c r="G343" s="9"/>
    </row>
    <row r="344" spans="4:7" ht="23.25" customHeight="1" x14ac:dyDescent="0.3">
      <c r="D344" s="9"/>
      <c r="G344" s="9"/>
    </row>
    <row r="345" spans="4:7" ht="23.25" customHeight="1" x14ac:dyDescent="0.3">
      <c r="D345" s="9"/>
      <c r="G345" s="9"/>
    </row>
    <row r="346" spans="4:7" ht="23.25" customHeight="1" x14ac:dyDescent="0.3">
      <c r="D346" s="9"/>
      <c r="G346" s="9"/>
    </row>
    <row r="347" spans="4:7" ht="23.25" customHeight="1" x14ac:dyDescent="0.3">
      <c r="D347" s="9"/>
      <c r="G347" s="9"/>
    </row>
    <row r="348" spans="4:7" ht="23.25" customHeight="1" x14ac:dyDescent="0.3">
      <c r="D348" s="9"/>
      <c r="G348" s="9"/>
    </row>
    <row r="349" spans="4:7" ht="23.25" customHeight="1" x14ac:dyDescent="0.3">
      <c r="D349" s="9"/>
      <c r="G349" s="9"/>
    </row>
    <row r="350" spans="4:7" ht="23.25" customHeight="1" x14ac:dyDescent="0.3">
      <c r="D350" s="9"/>
      <c r="G350" s="9"/>
    </row>
    <row r="351" spans="4:7" ht="23.25" customHeight="1" x14ac:dyDescent="0.3">
      <c r="D351" s="9"/>
      <c r="G351" s="9"/>
    </row>
    <row r="352" spans="4:7" ht="23.25" customHeight="1" x14ac:dyDescent="0.3">
      <c r="D352" s="9"/>
      <c r="G352" s="9"/>
    </row>
    <row r="353" spans="4:7" ht="23.25" customHeight="1" x14ac:dyDescent="0.3">
      <c r="D353" s="9"/>
      <c r="G353" s="9"/>
    </row>
    <row r="354" spans="4:7" ht="23.25" customHeight="1" x14ac:dyDescent="0.3">
      <c r="D354" s="9"/>
      <c r="G354" s="9"/>
    </row>
    <row r="355" spans="4:7" ht="23.25" customHeight="1" x14ac:dyDescent="0.3">
      <c r="D355" s="9"/>
      <c r="G355" s="9"/>
    </row>
    <row r="356" spans="4:7" ht="23.25" customHeight="1" x14ac:dyDescent="0.3">
      <c r="D356" s="9"/>
      <c r="G356" s="9"/>
    </row>
    <row r="357" spans="4:7" ht="23.25" customHeight="1" x14ac:dyDescent="0.3">
      <c r="D357" s="9"/>
      <c r="G357" s="9"/>
    </row>
    <row r="358" spans="4:7" ht="23.25" customHeight="1" x14ac:dyDescent="0.3">
      <c r="D358" s="9"/>
      <c r="G358" s="9"/>
    </row>
    <row r="359" spans="4:7" ht="23.25" customHeight="1" x14ac:dyDescent="0.3">
      <c r="D359" s="9"/>
      <c r="G359" s="9"/>
    </row>
    <row r="360" spans="4:7" ht="23.25" customHeight="1" x14ac:dyDescent="0.3">
      <c r="D360" s="9"/>
      <c r="G360" s="9"/>
    </row>
    <row r="361" spans="4:7" ht="23.25" customHeight="1" x14ac:dyDescent="0.3">
      <c r="D361" s="9"/>
      <c r="G361" s="9"/>
    </row>
    <row r="362" spans="4:7" ht="23.25" customHeight="1" x14ac:dyDescent="0.3">
      <c r="D362" s="9"/>
      <c r="G362" s="9"/>
    </row>
    <row r="363" spans="4:7" ht="23.25" customHeight="1" x14ac:dyDescent="0.3">
      <c r="D363" s="9"/>
      <c r="G363" s="9"/>
    </row>
    <row r="364" spans="4:7" ht="23.25" customHeight="1" x14ac:dyDescent="0.3">
      <c r="D364" s="9"/>
      <c r="G364" s="9"/>
    </row>
    <row r="365" spans="4:7" ht="23.25" customHeight="1" x14ac:dyDescent="0.3">
      <c r="D365" s="9"/>
      <c r="G365" s="9"/>
    </row>
    <row r="366" spans="4:7" ht="23.25" customHeight="1" x14ac:dyDescent="0.3">
      <c r="D366" s="9"/>
      <c r="G366" s="9"/>
    </row>
    <row r="367" spans="4:7" ht="23.25" customHeight="1" x14ac:dyDescent="0.3">
      <c r="D367" s="9"/>
      <c r="G367" s="9"/>
    </row>
    <row r="368" spans="4:7" ht="23.25" customHeight="1" x14ac:dyDescent="0.3">
      <c r="D368" s="9"/>
      <c r="G368" s="9"/>
    </row>
    <row r="369" spans="4:7" ht="23.25" customHeight="1" x14ac:dyDescent="0.3">
      <c r="D369" s="9"/>
      <c r="G369" s="9"/>
    </row>
    <row r="370" spans="4:7" ht="23.25" customHeight="1" x14ac:dyDescent="0.3">
      <c r="D370" s="9"/>
      <c r="G370" s="9"/>
    </row>
    <row r="371" spans="4:7" ht="23.25" customHeight="1" x14ac:dyDescent="0.3">
      <c r="D371" s="9"/>
      <c r="G371" s="9"/>
    </row>
    <row r="372" spans="4:7" ht="23.25" customHeight="1" x14ac:dyDescent="0.3">
      <c r="D372" s="9"/>
      <c r="G372" s="9"/>
    </row>
    <row r="373" spans="4:7" ht="23.25" customHeight="1" x14ac:dyDescent="0.3">
      <c r="D373" s="9"/>
      <c r="G373" s="9"/>
    </row>
    <row r="374" spans="4:7" ht="23.25" customHeight="1" x14ac:dyDescent="0.3">
      <c r="D374" s="9"/>
      <c r="G374" s="9"/>
    </row>
    <row r="375" spans="4:7" ht="23.25" customHeight="1" x14ac:dyDescent="0.3">
      <c r="D375" s="9"/>
      <c r="G375" s="9"/>
    </row>
    <row r="376" spans="4:7" ht="23.25" customHeight="1" x14ac:dyDescent="0.3">
      <c r="D376" s="9"/>
      <c r="G376" s="9"/>
    </row>
    <row r="377" spans="4:7" ht="23.25" customHeight="1" x14ac:dyDescent="0.3">
      <c r="D377" s="9"/>
      <c r="G377" s="9"/>
    </row>
    <row r="378" spans="4:7" ht="23.25" customHeight="1" x14ac:dyDescent="0.3">
      <c r="D378" s="9"/>
      <c r="G378" s="9"/>
    </row>
    <row r="379" spans="4:7" ht="23.25" customHeight="1" x14ac:dyDescent="0.3">
      <c r="D379" s="9"/>
      <c r="G379" s="9"/>
    </row>
    <row r="380" spans="4:7" ht="23.25" customHeight="1" x14ac:dyDescent="0.3">
      <c r="D380" s="9"/>
      <c r="G380" s="9"/>
    </row>
    <row r="381" spans="4:7" ht="23.25" customHeight="1" x14ac:dyDescent="0.3">
      <c r="D381" s="9"/>
      <c r="G381" s="9"/>
    </row>
    <row r="382" spans="4:7" ht="23.25" customHeight="1" x14ac:dyDescent="0.3">
      <c r="D382" s="9"/>
      <c r="G382" s="9"/>
    </row>
    <row r="383" spans="4:7" ht="23.25" customHeight="1" x14ac:dyDescent="0.3">
      <c r="D383" s="9"/>
      <c r="G383" s="9"/>
    </row>
    <row r="384" spans="4:7" ht="23.25" customHeight="1" x14ac:dyDescent="0.3">
      <c r="D384" s="9"/>
      <c r="G384" s="9"/>
    </row>
    <row r="385" spans="4:7" ht="23.25" customHeight="1" x14ac:dyDescent="0.3">
      <c r="D385" s="9"/>
      <c r="G385" s="9"/>
    </row>
    <row r="386" spans="4:7" ht="23.25" customHeight="1" x14ac:dyDescent="0.3">
      <c r="D386" s="9"/>
      <c r="G386" s="9"/>
    </row>
    <row r="387" spans="4:7" ht="23.25" customHeight="1" x14ac:dyDescent="0.3">
      <c r="D387" s="9"/>
      <c r="G387" s="9"/>
    </row>
    <row r="388" spans="4:7" ht="23.25" customHeight="1" x14ac:dyDescent="0.3">
      <c r="D388" s="9"/>
      <c r="G388" s="9"/>
    </row>
    <row r="389" spans="4:7" ht="23.25" customHeight="1" x14ac:dyDescent="0.3">
      <c r="D389" s="9"/>
      <c r="G389" s="9"/>
    </row>
    <row r="390" spans="4:7" ht="23.25" customHeight="1" x14ac:dyDescent="0.3">
      <c r="D390" s="9"/>
      <c r="G390" s="9"/>
    </row>
    <row r="391" spans="4:7" ht="23.25" customHeight="1" x14ac:dyDescent="0.3">
      <c r="D391" s="9"/>
      <c r="G391" s="9"/>
    </row>
    <row r="392" spans="4:7" ht="23.25" customHeight="1" x14ac:dyDescent="0.3">
      <c r="D392" s="9"/>
      <c r="G392" s="9"/>
    </row>
    <row r="393" spans="4:7" ht="23.25" customHeight="1" x14ac:dyDescent="0.3">
      <c r="D393" s="9"/>
      <c r="G393" s="9"/>
    </row>
    <row r="394" spans="4:7" ht="23.25" customHeight="1" x14ac:dyDescent="0.3">
      <c r="D394" s="9"/>
      <c r="G394" s="9"/>
    </row>
    <row r="395" spans="4:7" ht="23.25" customHeight="1" x14ac:dyDescent="0.3">
      <c r="D395" s="9"/>
      <c r="G395" s="9"/>
    </row>
    <row r="396" spans="4:7" ht="23.25" customHeight="1" x14ac:dyDescent="0.3">
      <c r="D396" s="9"/>
      <c r="G396" s="9"/>
    </row>
    <row r="397" spans="4:7" ht="23.25" customHeight="1" x14ac:dyDescent="0.3">
      <c r="D397" s="9"/>
      <c r="G397" s="9"/>
    </row>
    <row r="398" spans="4:7" ht="23.25" customHeight="1" x14ac:dyDescent="0.3">
      <c r="D398" s="9"/>
      <c r="G398" s="9"/>
    </row>
    <row r="399" spans="4:7" ht="23.25" customHeight="1" x14ac:dyDescent="0.3">
      <c r="D399" s="9"/>
      <c r="G399" s="9"/>
    </row>
    <row r="400" spans="4:7" ht="23.25" customHeight="1" x14ac:dyDescent="0.3">
      <c r="D400" s="9"/>
      <c r="G400" s="9"/>
    </row>
    <row r="401" spans="4:7" ht="23.25" customHeight="1" x14ac:dyDescent="0.3">
      <c r="D401" s="9"/>
      <c r="G401" s="9"/>
    </row>
    <row r="402" spans="4:7" ht="23.25" customHeight="1" x14ac:dyDescent="0.3">
      <c r="D402" s="9"/>
      <c r="G402" s="9"/>
    </row>
    <row r="403" spans="4:7" ht="23.25" customHeight="1" x14ac:dyDescent="0.3">
      <c r="D403" s="9"/>
      <c r="G403" s="9"/>
    </row>
    <row r="404" spans="4:7" ht="23.25" customHeight="1" x14ac:dyDescent="0.3">
      <c r="D404" s="9"/>
      <c r="G404" s="9"/>
    </row>
    <row r="405" spans="4:7" ht="23.25" customHeight="1" x14ac:dyDescent="0.3">
      <c r="D405" s="9"/>
      <c r="G405" s="9"/>
    </row>
    <row r="406" spans="4:7" ht="23.25" customHeight="1" x14ac:dyDescent="0.3">
      <c r="D406" s="9"/>
      <c r="G406" s="9"/>
    </row>
    <row r="407" spans="4:7" ht="23.25" customHeight="1" x14ac:dyDescent="0.3">
      <c r="D407" s="9"/>
      <c r="G407" s="9"/>
    </row>
    <row r="408" spans="4:7" ht="23.25" customHeight="1" x14ac:dyDescent="0.3">
      <c r="D408" s="9"/>
      <c r="G408" s="9"/>
    </row>
    <row r="409" spans="4:7" ht="23.25" customHeight="1" x14ac:dyDescent="0.3">
      <c r="D409" s="9"/>
      <c r="G409" s="9"/>
    </row>
    <row r="410" spans="4:7" ht="23.25" customHeight="1" x14ac:dyDescent="0.3">
      <c r="D410" s="9"/>
      <c r="G410" s="9"/>
    </row>
    <row r="411" spans="4:7" ht="23.25" customHeight="1" x14ac:dyDescent="0.3">
      <c r="D411" s="9"/>
      <c r="G411" s="9"/>
    </row>
    <row r="412" spans="4:7" ht="23.25" customHeight="1" x14ac:dyDescent="0.3">
      <c r="D412" s="9"/>
      <c r="G412" s="9"/>
    </row>
    <row r="413" spans="4:7" ht="23.25" customHeight="1" x14ac:dyDescent="0.3">
      <c r="D413" s="9"/>
      <c r="G413" s="9"/>
    </row>
    <row r="414" spans="4:7" ht="23.25" customHeight="1" x14ac:dyDescent="0.3">
      <c r="D414" s="9"/>
      <c r="G414" s="9"/>
    </row>
    <row r="415" spans="4:7" ht="23.25" customHeight="1" x14ac:dyDescent="0.3">
      <c r="D415" s="9"/>
      <c r="G415" s="9"/>
    </row>
    <row r="416" spans="4:7" ht="23.25" customHeight="1" x14ac:dyDescent="0.3">
      <c r="D416" s="9"/>
      <c r="G416" s="9"/>
    </row>
    <row r="417" spans="4:7" ht="23.25" customHeight="1" x14ac:dyDescent="0.3">
      <c r="D417" s="9"/>
      <c r="G417" s="9"/>
    </row>
    <row r="418" spans="4:7" ht="23.25" customHeight="1" x14ac:dyDescent="0.3">
      <c r="D418" s="9"/>
      <c r="G418" s="9"/>
    </row>
    <row r="419" spans="4:7" ht="23.25" customHeight="1" x14ac:dyDescent="0.3">
      <c r="D419" s="9"/>
      <c r="G419" s="9"/>
    </row>
    <row r="420" spans="4:7" ht="23.25" customHeight="1" x14ac:dyDescent="0.3">
      <c r="D420" s="9"/>
      <c r="G420" s="9"/>
    </row>
    <row r="421" spans="4:7" ht="23.25" customHeight="1" x14ac:dyDescent="0.3">
      <c r="D421" s="9"/>
      <c r="G421" s="9"/>
    </row>
    <row r="422" spans="4:7" ht="23.25" customHeight="1" x14ac:dyDescent="0.3">
      <c r="D422" s="9"/>
      <c r="G422" s="9"/>
    </row>
    <row r="423" spans="4:7" ht="23.25" customHeight="1" x14ac:dyDescent="0.3">
      <c r="D423" s="9"/>
      <c r="G423" s="9"/>
    </row>
    <row r="424" spans="4:7" ht="23.25" customHeight="1" x14ac:dyDescent="0.3">
      <c r="D424" s="9"/>
      <c r="G424" s="9"/>
    </row>
    <row r="425" spans="4:7" ht="23.25" customHeight="1" x14ac:dyDescent="0.3">
      <c r="D425" s="9"/>
      <c r="G425" s="9"/>
    </row>
    <row r="426" spans="4:7" ht="23.25" customHeight="1" x14ac:dyDescent="0.3">
      <c r="D426" s="9"/>
      <c r="G426" s="9"/>
    </row>
    <row r="427" spans="4:7" ht="23.25" customHeight="1" x14ac:dyDescent="0.3">
      <c r="D427" s="9"/>
      <c r="G427" s="9"/>
    </row>
    <row r="428" spans="4:7" ht="23.25" customHeight="1" x14ac:dyDescent="0.3">
      <c r="D428" s="9"/>
      <c r="G428" s="9"/>
    </row>
    <row r="429" spans="4:7" ht="23.25" customHeight="1" x14ac:dyDescent="0.3">
      <c r="D429" s="9"/>
      <c r="G429" s="9"/>
    </row>
    <row r="430" spans="4:7" ht="23.25" customHeight="1" x14ac:dyDescent="0.3">
      <c r="D430" s="9"/>
      <c r="G430" s="9"/>
    </row>
    <row r="431" spans="4:7" ht="23.25" customHeight="1" x14ac:dyDescent="0.3">
      <c r="D431" s="9"/>
      <c r="G431" s="9"/>
    </row>
    <row r="432" spans="4:7" ht="23.25" customHeight="1" x14ac:dyDescent="0.3">
      <c r="D432" s="9"/>
      <c r="G432" s="9"/>
    </row>
    <row r="433" spans="4:7" ht="23.25" customHeight="1" x14ac:dyDescent="0.3">
      <c r="D433" s="9"/>
      <c r="G433" s="9"/>
    </row>
    <row r="434" spans="4:7" ht="23.25" customHeight="1" x14ac:dyDescent="0.3">
      <c r="D434" s="9"/>
      <c r="G434" s="9"/>
    </row>
    <row r="435" spans="4:7" ht="23.25" customHeight="1" x14ac:dyDescent="0.3">
      <c r="D435" s="9"/>
      <c r="G435" s="9"/>
    </row>
    <row r="436" spans="4:7" ht="23.25" customHeight="1" x14ac:dyDescent="0.3">
      <c r="D436" s="9"/>
      <c r="G436" s="9"/>
    </row>
    <row r="437" spans="4:7" ht="23.25" customHeight="1" x14ac:dyDescent="0.3">
      <c r="D437" s="9"/>
      <c r="G437" s="9"/>
    </row>
    <row r="438" spans="4:7" ht="23.25" customHeight="1" x14ac:dyDescent="0.3">
      <c r="D438" s="9"/>
      <c r="G438" s="9"/>
    </row>
    <row r="439" spans="4:7" ht="23.25" customHeight="1" x14ac:dyDescent="0.3">
      <c r="D439" s="9"/>
      <c r="G439" s="9"/>
    </row>
    <row r="440" spans="4:7" ht="23.25" customHeight="1" x14ac:dyDescent="0.3">
      <c r="D440" s="9"/>
      <c r="G440" s="9"/>
    </row>
    <row r="441" spans="4:7" ht="23.25" customHeight="1" x14ac:dyDescent="0.3">
      <c r="D441" s="9"/>
      <c r="G441" s="9"/>
    </row>
    <row r="442" spans="4:7" ht="23.25" customHeight="1" x14ac:dyDescent="0.3">
      <c r="D442" s="9"/>
      <c r="G442" s="9"/>
    </row>
    <row r="443" spans="4:7" ht="23.25" customHeight="1" x14ac:dyDescent="0.3">
      <c r="D443" s="9"/>
      <c r="G443" s="9"/>
    </row>
    <row r="444" spans="4:7" ht="23.25" customHeight="1" x14ac:dyDescent="0.3">
      <c r="D444" s="9"/>
      <c r="G444" s="9"/>
    </row>
    <row r="445" spans="4:7" ht="23.25" customHeight="1" x14ac:dyDescent="0.3">
      <c r="D445" s="9"/>
      <c r="G445" s="9"/>
    </row>
    <row r="446" spans="4:7" ht="23.25" customHeight="1" x14ac:dyDescent="0.3">
      <c r="D446" s="9"/>
      <c r="G446" s="9"/>
    </row>
    <row r="447" spans="4:7" ht="23.25" customHeight="1" x14ac:dyDescent="0.3">
      <c r="D447" s="9"/>
      <c r="G447" s="9"/>
    </row>
    <row r="448" spans="4:7" ht="23.25" customHeight="1" x14ac:dyDescent="0.3">
      <c r="D448" s="9"/>
      <c r="G448" s="9"/>
    </row>
    <row r="449" spans="4:7" ht="23.25" customHeight="1" x14ac:dyDescent="0.3">
      <c r="D449" s="9"/>
      <c r="G449" s="9"/>
    </row>
    <row r="450" spans="4:7" ht="23.25" customHeight="1" x14ac:dyDescent="0.3">
      <c r="D450" s="9"/>
      <c r="G450" s="9"/>
    </row>
    <row r="451" spans="4:7" ht="23.25" customHeight="1" x14ac:dyDescent="0.3">
      <c r="D451" s="9"/>
      <c r="G451" s="9"/>
    </row>
    <row r="452" spans="4:7" ht="23.25" customHeight="1" x14ac:dyDescent="0.3">
      <c r="D452" s="9"/>
      <c r="G452" s="9"/>
    </row>
    <row r="453" spans="4:7" ht="23.25" customHeight="1" x14ac:dyDescent="0.3">
      <c r="D453" s="9"/>
      <c r="G453" s="9"/>
    </row>
    <row r="454" spans="4:7" ht="23.25" customHeight="1" x14ac:dyDescent="0.3">
      <c r="D454" s="9"/>
      <c r="G454" s="9"/>
    </row>
    <row r="455" spans="4:7" ht="23.25" customHeight="1" x14ac:dyDescent="0.3">
      <c r="D455" s="9"/>
      <c r="G455" s="9"/>
    </row>
    <row r="456" spans="4:7" ht="23.25" customHeight="1" x14ac:dyDescent="0.3">
      <c r="D456" s="9"/>
      <c r="G456" s="9"/>
    </row>
    <row r="457" spans="4:7" ht="23.25" customHeight="1" x14ac:dyDescent="0.3">
      <c r="D457" s="9"/>
      <c r="G457" s="9"/>
    </row>
    <row r="458" spans="4:7" ht="23.25" customHeight="1" x14ac:dyDescent="0.3">
      <c r="D458" s="9"/>
      <c r="G458" s="9"/>
    </row>
    <row r="459" spans="4:7" ht="23.25" customHeight="1" x14ac:dyDescent="0.3">
      <c r="D459" s="9"/>
      <c r="G459" s="9"/>
    </row>
    <row r="460" spans="4:7" ht="23.25" customHeight="1" x14ac:dyDescent="0.3">
      <c r="D460" s="9"/>
      <c r="G460" s="9"/>
    </row>
    <row r="461" spans="4:7" ht="23.25" customHeight="1" x14ac:dyDescent="0.3">
      <c r="D461" s="9"/>
      <c r="G461" s="9"/>
    </row>
    <row r="462" spans="4:7" ht="23.25" customHeight="1" x14ac:dyDescent="0.3">
      <c r="D462" s="9"/>
      <c r="G462" s="9"/>
    </row>
    <row r="463" spans="4:7" ht="23.25" customHeight="1" x14ac:dyDescent="0.3">
      <c r="D463" s="9"/>
      <c r="G463" s="9"/>
    </row>
    <row r="464" spans="4:7" ht="23.25" customHeight="1" x14ac:dyDescent="0.3">
      <c r="D464" s="9"/>
      <c r="G464" s="9"/>
    </row>
    <row r="465" spans="4:7" ht="23.25" customHeight="1" x14ac:dyDescent="0.3">
      <c r="D465" s="9"/>
      <c r="G465" s="9"/>
    </row>
    <row r="466" spans="4:7" ht="23.25" customHeight="1" x14ac:dyDescent="0.3">
      <c r="D466" s="9"/>
      <c r="G466" s="9"/>
    </row>
    <row r="467" spans="4:7" ht="23.25" customHeight="1" x14ac:dyDescent="0.3">
      <c r="D467" s="9"/>
      <c r="G467" s="9"/>
    </row>
    <row r="468" spans="4:7" ht="23.25" customHeight="1" x14ac:dyDescent="0.3">
      <c r="D468" s="9"/>
      <c r="G468" s="9"/>
    </row>
    <row r="469" spans="4:7" ht="23.25" customHeight="1" x14ac:dyDescent="0.3">
      <c r="D469" s="9"/>
      <c r="G469" s="9"/>
    </row>
    <row r="470" spans="4:7" ht="23.25" customHeight="1" x14ac:dyDescent="0.3">
      <c r="D470" s="9"/>
      <c r="G470" s="9"/>
    </row>
    <row r="471" spans="4:7" ht="23.25" customHeight="1" x14ac:dyDescent="0.3">
      <c r="D471" s="9"/>
      <c r="G471" s="9"/>
    </row>
    <row r="472" spans="4:7" ht="23.25" customHeight="1" x14ac:dyDescent="0.3">
      <c r="D472" s="9"/>
      <c r="G472" s="9"/>
    </row>
    <row r="473" spans="4:7" ht="23.25" customHeight="1" x14ac:dyDescent="0.3">
      <c r="D473" s="9"/>
      <c r="G473" s="9"/>
    </row>
    <row r="474" spans="4:7" ht="23.25" customHeight="1" x14ac:dyDescent="0.3">
      <c r="D474" s="9"/>
      <c r="G474" s="9"/>
    </row>
    <row r="475" spans="4:7" ht="23.25" customHeight="1" x14ac:dyDescent="0.3">
      <c r="D475" s="9"/>
      <c r="G475" s="9"/>
    </row>
    <row r="476" spans="4:7" ht="23.25" customHeight="1" x14ac:dyDescent="0.3">
      <c r="D476" s="9"/>
      <c r="G476" s="9"/>
    </row>
    <row r="477" spans="4:7" ht="23.25" customHeight="1" x14ac:dyDescent="0.3">
      <c r="D477" s="9"/>
      <c r="G477" s="9"/>
    </row>
    <row r="478" spans="4:7" ht="23.25" customHeight="1" x14ac:dyDescent="0.3">
      <c r="D478" s="9"/>
      <c r="G478" s="9"/>
    </row>
    <row r="479" spans="4:7" ht="23.25" customHeight="1" x14ac:dyDescent="0.3">
      <c r="D479" s="9"/>
      <c r="G479" s="9"/>
    </row>
    <row r="480" spans="4:7" ht="23.25" customHeight="1" x14ac:dyDescent="0.3">
      <c r="D480" s="9"/>
      <c r="G480" s="9"/>
    </row>
    <row r="481" spans="4:7" ht="23.25" customHeight="1" x14ac:dyDescent="0.3">
      <c r="D481" s="9"/>
      <c r="G481" s="9"/>
    </row>
    <row r="482" spans="4:7" ht="23.25" customHeight="1" x14ac:dyDescent="0.3">
      <c r="D482" s="9"/>
      <c r="G482" s="9"/>
    </row>
    <row r="483" spans="4:7" ht="23.25" customHeight="1" x14ac:dyDescent="0.3">
      <c r="D483" s="9"/>
      <c r="G483" s="9"/>
    </row>
    <row r="484" spans="4:7" ht="23.25" customHeight="1" x14ac:dyDescent="0.3">
      <c r="D484" s="9"/>
      <c r="G484" s="9"/>
    </row>
    <row r="485" spans="4:7" ht="23.25" customHeight="1" x14ac:dyDescent="0.3">
      <c r="D485" s="9"/>
      <c r="G485" s="9"/>
    </row>
    <row r="486" spans="4:7" ht="23.25" customHeight="1" x14ac:dyDescent="0.3">
      <c r="D486" s="9"/>
      <c r="G486" s="9"/>
    </row>
    <row r="487" spans="4:7" ht="23.25" customHeight="1" x14ac:dyDescent="0.3">
      <c r="D487" s="9"/>
      <c r="G487" s="9"/>
    </row>
    <row r="488" spans="4:7" ht="23.25" customHeight="1" x14ac:dyDescent="0.3">
      <c r="D488" s="9"/>
      <c r="G488" s="9"/>
    </row>
    <row r="489" spans="4:7" ht="23.25" customHeight="1" x14ac:dyDescent="0.3">
      <c r="D489" s="9"/>
      <c r="G489" s="9"/>
    </row>
    <row r="490" spans="4:7" ht="23.25" customHeight="1" x14ac:dyDescent="0.3">
      <c r="D490" s="9"/>
      <c r="G490" s="9"/>
    </row>
    <row r="491" spans="4:7" ht="23.25" customHeight="1" x14ac:dyDescent="0.3">
      <c r="D491" s="9"/>
      <c r="G491" s="9"/>
    </row>
    <row r="492" spans="4:7" ht="23.25" customHeight="1" x14ac:dyDescent="0.3">
      <c r="D492" s="9"/>
      <c r="G492" s="9"/>
    </row>
    <row r="493" spans="4:7" ht="23.25" customHeight="1" x14ac:dyDescent="0.3">
      <c r="D493" s="9"/>
      <c r="G493" s="9"/>
    </row>
    <row r="494" spans="4:7" ht="23.25" customHeight="1" x14ac:dyDescent="0.3">
      <c r="D494" s="9"/>
      <c r="G494" s="9"/>
    </row>
    <row r="495" spans="4:7" ht="23.25" customHeight="1" x14ac:dyDescent="0.3">
      <c r="D495" s="9"/>
      <c r="G495" s="9"/>
    </row>
    <row r="496" spans="4:7" ht="23.25" customHeight="1" x14ac:dyDescent="0.3">
      <c r="D496" s="9"/>
      <c r="G496" s="9"/>
    </row>
    <row r="497" spans="4:7" ht="23.25" customHeight="1" x14ac:dyDescent="0.3">
      <c r="D497" s="9"/>
      <c r="G497" s="9"/>
    </row>
    <row r="498" spans="4:7" ht="23.25" customHeight="1" x14ac:dyDescent="0.3">
      <c r="D498" s="9"/>
      <c r="G498" s="9"/>
    </row>
    <row r="499" spans="4:7" ht="23.25" customHeight="1" x14ac:dyDescent="0.3">
      <c r="D499" s="9"/>
      <c r="G499" s="9"/>
    </row>
    <row r="500" spans="4:7" ht="23.25" customHeight="1" x14ac:dyDescent="0.3">
      <c r="D500" s="9"/>
      <c r="G500" s="9"/>
    </row>
    <row r="501" spans="4:7" ht="23.25" customHeight="1" x14ac:dyDescent="0.3">
      <c r="D501" s="9"/>
      <c r="G501" s="9"/>
    </row>
    <row r="502" spans="4:7" ht="23.25" customHeight="1" x14ac:dyDescent="0.3">
      <c r="D502" s="9"/>
      <c r="G502" s="9"/>
    </row>
    <row r="503" spans="4:7" ht="23.25" customHeight="1" x14ac:dyDescent="0.3">
      <c r="D503" s="9"/>
      <c r="G503" s="9"/>
    </row>
    <row r="504" spans="4:7" ht="23.25" customHeight="1" x14ac:dyDescent="0.3">
      <c r="D504" s="9"/>
      <c r="G504" s="9"/>
    </row>
    <row r="505" spans="4:7" ht="23.25" customHeight="1" x14ac:dyDescent="0.3">
      <c r="D505" s="9"/>
      <c r="G505" s="9"/>
    </row>
    <row r="506" spans="4:7" ht="23.25" customHeight="1" x14ac:dyDescent="0.3">
      <c r="D506" s="9"/>
      <c r="G506" s="9"/>
    </row>
    <row r="507" spans="4:7" ht="23.25" customHeight="1" x14ac:dyDescent="0.3">
      <c r="D507" s="9"/>
      <c r="G507" s="9"/>
    </row>
    <row r="508" spans="4:7" ht="23.25" customHeight="1" x14ac:dyDescent="0.3">
      <c r="D508" s="9"/>
      <c r="G508" s="9"/>
    </row>
    <row r="509" spans="4:7" ht="23.25" customHeight="1" x14ac:dyDescent="0.3">
      <c r="D509" s="9"/>
      <c r="G509" s="9"/>
    </row>
    <row r="510" spans="4:7" ht="23.25" customHeight="1" x14ac:dyDescent="0.3">
      <c r="D510" s="9"/>
      <c r="G510" s="9"/>
    </row>
    <row r="511" spans="4:7" ht="23.25" customHeight="1" x14ac:dyDescent="0.3">
      <c r="D511" s="9"/>
      <c r="G511" s="9"/>
    </row>
    <row r="512" spans="4:7" ht="23.25" customHeight="1" x14ac:dyDescent="0.3">
      <c r="D512" s="9"/>
      <c r="G512" s="9"/>
    </row>
    <row r="513" spans="4:7" ht="23.25" customHeight="1" x14ac:dyDescent="0.3">
      <c r="D513" s="9"/>
      <c r="G513" s="9"/>
    </row>
    <row r="514" spans="4:7" ht="23.25" customHeight="1" x14ac:dyDescent="0.3">
      <c r="D514" s="9"/>
      <c r="G514" s="9"/>
    </row>
    <row r="515" spans="4:7" ht="23.25" customHeight="1" x14ac:dyDescent="0.3">
      <c r="D515" s="9"/>
      <c r="G515" s="9"/>
    </row>
    <row r="516" spans="4:7" ht="23.25" customHeight="1" x14ac:dyDescent="0.3">
      <c r="D516" s="9"/>
      <c r="G516" s="9"/>
    </row>
    <row r="517" spans="4:7" ht="23.25" customHeight="1" x14ac:dyDescent="0.3">
      <c r="D517" s="9"/>
      <c r="G517" s="9"/>
    </row>
    <row r="518" spans="4:7" ht="23.25" customHeight="1" x14ac:dyDescent="0.3">
      <c r="D518" s="9"/>
      <c r="G518" s="9"/>
    </row>
    <row r="519" spans="4:7" ht="23.25" customHeight="1" x14ac:dyDescent="0.3">
      <c r="D519" s="9"/>
      <c r="G519" s="9"/>
    </row>
    <row r="520" spans="4:7" ht="23.25" customHeight="1" x14ac:dyDescent="0.3">
      <c r="D520" s="9"/>
      <c r="G520" s="9"/>
    </row>
    <row r="521" spans="4:7" ht="23.25" customHeight="1" x14ac:dyDescent="0.3">
      <c r="D521" s="9"/>
      <c r="G521" s="9"/>
    </row>
    <row r="522" spans="4:7" ht="23.25" customHeight="1" x14ac:dyDescent="0.3">
      <c r="D522" s="9"/>
      <c r="G522" s="9"/>
    </row>
    <row r="523" spans="4:7" ht="23.25" customHeight="1" x14ac:dyDescent="0.3">
      <c r="D523" s="9"/>
      <c r="G523" s="9"/>
    </row>
    <row r="524" spans="4:7" ht="23.25" customHeight="1" x14ac:dyDescent="0.3">
      <c r="D524" s="9"/>
      <c r="G524" s="9"/>
    </row>
    <row r="525" spans="4:7" ht="23.25" customHeight="1" x14ac:dyDescent="0.3">
      <c r="D525" s="9"/>
      <c r="G525" s="9"/>
    </row>
    <row r="526" spans="4:7" ht="23.25" customHeight="1" x14ac:dyDescent="0.3">
      <c r="D526" s="9"/>
      <c r="G526" s="9"/>
    </row>
    <row r="527" spans="4:7" ht="23.25" customHeight="1" x14ac:dyDescent="0.3">
      <c r="D527" s="9"/>
      <c r="G527" s="9"/>
    </row>
    <row r="528" spans="4:7" ht="23.25" customHeight="1" x14ac:dyDescent="0.3">
      <c r="D528" s="9"/>
      <c r="G528" s="9"/>
    </row>
    <row r="529" spans="4:7" ht="23.25" customHeight="1" x14ac:dyDescent="0.3">
      <c r="D529" s="9"/>
      <c r="G529" s="9"/>
    </row>
    <row r="530" spans="4:7" ht="23.25" customHeight="1" x14ac:dyDescent="0.3">
      <c r="D530" s="9"/>
      <c r="G530" s="9"/>
    </row>
    <row r="531" spans="4:7" ht="23.25" customHeight="1" x14ac:dyDescent="0.3">
      <c r="D531" s="9"/>
      <c r="G531" s="9"/>
    </row>
    <row r="532" spans="4:7" ht="23.25" customHeight="1" x14ac:dyDescent="0.3">
      <c r="D532" s="9"/>
      <c r="G532" s="9"/>
    </row>
    <row r="533" spans="4:7" ht="23.25" customHeight="1" x14ac:dyDescent="0.3">
      <c r="D533" s="9"/>
      <c r="G533" s="9"/>
    </row>
    <row r="534" spans="4:7" ht="23.25" customHeight="1" x14ac:dyDescent="0.3">
      <c r="D534" s="9"/>
      <c r="G534" s="9"/>
    </row>
    <row r="535" spans="4:7" ht="23.25" customHeight="1" x14ac:dyDescent="0.3">
      <c r="D535" s="9"/>
      <c r="G535" s="9"/>
    </row>
    <row r="536" spans="4:7" ht="23.25" customHeight="1" x14ac:dyDescent="0.3">
      <c r="D536" s="9"/>
      <c r="G536" s="9"/>
    </row>
    <row r="537" spans="4:7" ht="23.25" customHeight="1" x14ac:dyDescent="0.3">
      <c r="D537" s="9"/>
      <c r="G537" s="9"/>
    </row>
    <row r="538" spans="4:7" ht="23.25" customHeight="1" x14ac:dyDescent="0.3">
      <c r="D538" s="9"/>
      <c r="G538" s="9"/>
    </row>
    <row r="539" spans="4:7" ht="23.25" customHeight="1" x14ac:dyDescent="0.3">
      <c r="D539" s="9"/>
      <c r="G539" s="9"/>
    </row>
    <row r="540" spans="4:7" ht="23.25" customHeight="1" x14ac:dyDescent="0.3">
      <c r="D540" s="9"/>
      <c r="G540" s="9"/>
    </row>
    <row r="541" spans="4:7" ht="23.25" customHeight="1" x14ac:dyDescent="0.3">
      <c r="D541" s="9"/>
      <c r="G541" s="9"/>
    </row>
    <row r="542" spans="4:7" ht="23.25" customHeight="1" x14ac:dyDescent="0.3">
      <c r="D542" s="9"/>
      <c r="G542" s="9"/>
    </row>
    <row r="543" spans="4:7" ht="23.25" customHeight="1" x14ac:dyDescent="0.3">
      <c r="D543" s="9"/>
      <c r="G543" s="9"/>
    </row>
    <row r="544" spans="4:7" ht="23.25" customHeight="1" x14ac:dyDescent="0.3">
      <c r="D544" s="9"/>
      <c r="G544" s="9"/>
    </row>
    <row r="545" spans="4:7" ht="23.25" customHeight="1" x14ac:dyDescent="0.3">
      <c r="D545" s="9"/>
      <c r="G545" s="9"/>
    </row>
    <row r="546" spans="4:7" ht="23.25" customHeight="1" x14ac:dyDescent="0.3">
      <c r="D546" s="9"/>
      <c r="G546" s="9"/>
    </row>
    <row r="547" spans="4:7" ht="23.25" customHeight="1" x14ac:dyDescent="0.3">
      <c r="D547" s="9"/>
      <c r="G547" s="9"/>
    </row>
    <row r="548" spans="4:7" ht="23.25" customHeight="1" x14ac:dyDescent="0.3">
      <c r="D548" s="9"/>
      <c r="G548" s="9"/>
    </row>
    <row r="549" spans="4:7" ht="23.25" customHeight="1" x14ac:dyDescent="0.3">
      <c r="D549" s="9"/>
      <c r="G549" s="9"/>
    </row>
    <row r="550" spans="4:7" ht="23.25" customHeight="1" x14ac:dyDescent="0.3">
      <c r="D550" s="9"/>
      <c r="G550" s="9"/>
    </row>
    <row r="551" spans="4:7" ht="23.25" customHeight="1" x14ac:dyDescent="0.3">
      <c r="D551" s="9"/>
      <c r="G551" s="9"/>
    </row>
    <row r="552" spans="4:7" ht="23.25" customHeight="1" x14ac:dyDescent="0.3">
      <c r="D552" s="9"/>
      <c r="G552" s="9"/>
    </row>
    <row r="553" spans="4:7" ht="23.25" customHeight="1" x14ac:dyDescent="0.3">
      <c r="D553" s="9"/>
      <c r="G553" s="9"/>
    </row>
    <row r="554" spans="4:7" ht="23.25" customHeight="1" x14ac:dyDescent="0.3">
      <c r="D554" s="9"/>
      <c r="G554" s="9"/>
    </row>
    <row r="555" spans="4:7" ht="23.25" customHeight="1" x14ac:dyDescent="0.3">
      <c r="D555" s="9"/>
      <c r="G555" s="9"/>
    </row>
    <row r="556" spans="4:7" ht="23.25" customHeight="1" x14ac:dyDescent="0.3">
      <c r="D556" s="9"/>
      <c r="G556" s="9"/>
    </row>
    <row r="557" spans="4:7" ht="23.25" customHeight="1" x14ac:dyDescent="0.3">
      <c r="D557" s="9"/>
      <c r="G557" s="9"/>
    </row>
    <row r="558" spans="4:7" ht="23.25" customHeight="1" x14ac:dyDescent="0.3">
      <c r="D558" s="9"/>
      <c r="G558" s="9"/>
    </row>
    <row r="559" spans="4:7" ht="23.25" customHeight="1" x14ac:dyDescent="0.3">
      <c r="D559" s="9"/>
      <c r="G559" s="9"/>
    </row>
    <row r="560" spans="4:7" ht="23.25" customHeight="1" x14ac:dyDescent="0.3">
      <c r="D560" s="9"/>
      <c r="G560" s="9"/>
    </row>
    <row r="561" spans="4:7" ht="23.25" customHeight="1" x14ac:dyDescent="0.3">
      <c r="D561" s="9"/>
      <c r="G561" s="9"/>
    </row>
    <row r="562" spans="4:7" ht="23.25" customHeight="1" x14ac:dyDescent="0.3">
      <c r="D562" s="9"/>
      <c r="G562" s="9"/>
    </row>
    <row r="563" spans="4:7" ht="23.25" customHeight="1" x14ac:dyDescent="0.3">
      <c r="D563" s="9"/>
      <c r="G563" s="9"/>
    </row>
    <row r="564" spans="4:7" ht="23.25" customHeight="1" x14ac:dyDescent="0.3">
      <c r="D564" s="9"/>
      <c r="G564" s="9"/>
    </row>
    <row r="565" spans="4:7" ht="23.25" customHeight="1" x14ac:dyDescent="0.3">
      <c r="D565" s="9"/>
      <c r="G565" s="9"/>
    </row>
    <row r="566" spans="4:7" ht="23.25" customHeight="1" x14ac:dyDescent="0.3">
      <c r="D566" s="9"/>
      <c r="G566" s="9"/>
    </row>
    <row r="567" spans="4:7" ht="23.25" customHeight="1" x14ac:dyDescent="0.3">
      <c r="D567" s="9"/>
      <c r="G567" s="9"/>
    </row>
    <row r="568" spans="4:7" ht="23.25" customHeight="1" x14ac:dyDescent="0.3">
      <c r="D568" s="9"/>
      <c r="G568" s="9"/>
    </row>
    <row r="569" spans="4:7" ht="23.25" customHeight="1" x14ac:dyDescent="0.3">
      <c r="D569" s="9"/>
      <c r="G569" s="9"/>
    </row>
    <row r="570" spans="4:7" ht="23.25" customHeight="1" x14ac:dyDescent="0.3">
      <c r="D570" s="9"/>
      <c r="G570" s="9"/>
    </row>
    <row r="571" spans="4:7" ht="23.25" customHeight="1" x14ac:dyDescent="0.3">
      <c r="D571" s="9"/>
      <c r="G571" s="9"/>
    </row>
    <row r="572" spans="4:7" ht="23.25" customHeight="1" x14ac:dyDescent="0.3">
      <c r="D572" s="9"/>
      <c r="G572" s="9"/>
    </row>
    <row r="573" spans="4:7" ht="23.25" customHeight="1" x14ac:dyDescent="0.3">
      <c r="D573" s="9"/>
      <c r="G573" s="9"/>
    </row>
    <row r="574" spans="4:7" ht="23.25" customHeight="1" x14ac:dyDescent="0.3">
      <c r="D574" s="9"/>
      <c r="G574" s="9"/>
    </row>
    <row r="575" spans="4:7" ht="23.25" customHeight="1" x14ac:dyDescent="0.3">
      <c r="D575" s="9"/>
      <c r="G575" s="9"/>
    </row>
    <row r="576" spans="4:7" ht="23.25" customHeight="1" x14ac:dyDescent="0.3">
      <c r="D576" s="9"/>
      <c r="G576" s="9"/>
    </row>
    <row r="577" spans="4:7" ht="23.25" customHeight="1" x14ac:dyDescent="0.3">
      <c r="D577" s="9"/>
      <c r="G577" s="9"/>
    </row>
    <row r="578" spans="4:7" ht="23.25" customHeight="1" x14ac:dyDescent="0.3">
      <c r="D578" s="9"/>
      <c r="G578" s="9"/>
    </row>
    <row r="579" spans="4:7" ht="23.25" customHeight="1" x14ac:dyDescent="0.3">
      <c r="D579" s="9"/>
      <c r="G579" s="9"/>
    </row>
    <row r="580" spans="4:7" ht="23.25" customHeight="1" x14ac:dyDescent="0.3">
      <c r="D580" s="9"/>
      <c r="G580" s="9"/>
    </row>
    <row r="581" spans="4:7" ht="23.25" customHeight="1" x14ac:dyDescent="0.3">
      <c r="D581" s="9"/>
      <c r="G581" s="9"/>
    </row>
    <row r="582" spans="4:7" ht="23.25" customHeight="1" x14ac:dyDescent="0.3">
      <c r="D582" s="9"/>
      <c r="G582" s="9"/>
    </row>
    <row r="583" spans="4:7" ht="23.25" customHeight="1" x14ac:dyDescent="0.3">
      <c r="D583" s="9"/>
      <c r="G583" s="9"/>
    </row>
    <row r="584" spans="4:7" ht="23.25" customHeight="1" x14ac:dyDescent="0.3">
      <c r="D584" s="9"/>
      <c r="G584" s="9"/>
    </row>
    <row r="585" spans="4:7" ht="23.25" customHeight="1" x14ac:dyDescent="0.3">
      <c r="D585" s="9"/>
      <c r="G585" s="9"/>
    </row>
    <row r="586" spans="4:7" ht="23.25" customHeight="1" x14ac:dyDescent="0.3">
      <c r="D586" s="9"/>
      <c r="G586" s="9"/>
    </row>
    <row r="587" spans="4:7" ht="23.25" customHeight="1" x14ac:dyDescent="0.3">
      <c r="D587" s="9"/>
      <c r="G587" s="9"/>
    </row>
    <row r="588" spans="4:7" ht="23.25" customHeight="1" x14ac:dyDescent="0.3">
      <c r="D588" s="9"/>
      <c r="G588" s="9"/>
    </row>
    <row r="589" spans="4:7" ht="23.25" customHeight="1" x14ac:dyDescent="0.3">
      <c r="D589" s="9"/>
      <c r="G589" s="9"/>
    </row>
    <row r="590" spans="4:7" ht="23.25" customHeight="1" x14ac:dyDescent="0.3">
      <c r="D590" s="9"/>
      <c r="G590" s="9"/>
    </row>
    <row r="591" spans="4:7" ht="23.25" customHeight="1" x14ac:dyDescent="0.3">
      <c r="D591" s="9"/>
      <c r="G591" s="9"/>
    </row>
    <row r="592" spans="4:7" ht="23.25" customHeight="1" x14ac:dyDescent="0.3">
      <c r="D592" s="9"/>
      <c r="G592" s="9"/>
    </row>
    <row r="593" spans="4:7" ht="23.25" customHeight="1" x14ac:dyDescent="0.3">
      <c r="D593" s="9"/>
      <c r="G593" s="9"/>
    </row>
    <row r="594" spans="4:7" ht="23.25" customHeight="1" x14ac:dyDescent="0.3">
      <c r="D594" s="9"/>
      <c r="G594" s="9"/>
    </row>
    <row r="595" spans="4:7" ht="23.25" customHeight="1" x14ac:dyDescent="0.3">
      <c r="D595" s="9"/>
      <c r="G595" s="9"/>
    </row>
    <row r="596" spans="4:7" ht="23.25" customHeight="1" x14ac:dyDescent="0.3">
      <c r="D596" s="9"/>
      <c r="G596" s="9"/>
    </row>
    <row r="597" spans="4:7" ht="23.25" customHeight="1" x14ac:dyDescent="0.3">
      <c r="D597" s="9"/>
      <c r="G597" s="9"/>
    </row>
    <row r="598" spans="4:7" ht="23.25" customHeight="1" x14ac:dyDescent="0.3">
      <c r="D598" s="9"/>
      <c r="G598" s="9"/>
    </row>
    <row r="599" spans="4:7" ht="23.25" customHeight="1" x14ac:dyDescent="0.3">
      <c r="D599" s="9"/>
      <c r="G599" s="9"/>
    </row>
    <row r="600" spans="4:7" ht="23.25" customHeight="1" x14ac:dyDescent="0.3">
      <c r="D600" s="9"/>
      <c r="G600" s="9"/>
    </row>
    <row r="601" spans="4:7" ht="23.25" customHeight="1" x14ac:dyDescent="0.3">
      <c r="D601" s="9"/>
      <c r="G601" s="9"/>
    </row>
    <row r="602" spans="4:7" ht="23.25" customHeight="1" x14ac:dyDescent="0.3">
      <c r="D602" s="9"/>
      <c r="G602" s="9"/>
    </row>
    <row r="603" spans="4:7" ht="23.25" customHeight="1" x14ac:dyDescent="0.3">
      <c r="D603" s="9"/>
      <c r="G603" s="9"/>
    </row>
    <row r="604" spans="4:7" ht="23.25" customHeight="1" x14ac:dyDescent="0.3">
      <c r="D604" s="9"/>
      <c r="G604" s="9"/>
    </row>
    <row r="605" spans="4:7" ht="23.25" customHeight="1" x14ac:dyDescent="0.3">
      <c r="D605" s="9"/>
      <c r="G605" s="9"/>
    </row>
    <row r="606" spans="4:7" ht="23.25" customHeight="1" x14ac:dyDescent="0.3">
      <c r="D606" s="9"/>
      <c r="G606" s="9"/>
    </row>
    <row r="607" spans="4:7" ht="23.25" customHeight="1" x14ac:dyDescent="0.3">
      <c r="D607" s="9"/>
      <c r="G607" s="9"/>
    </row>
    <row r="608" spans="4:7" ht="23.25" customHeight="1" x14ac:dyDescent="0.3">
      <c r="D608" s="9"/>
      <c r="G608" s="9"/>
    </row>
    <row r="609" spans="4:7" ht="23.25" customHeight="1" x14ac:dyDescent="0.3">
      <c r="D609" s="9"/>
      <c r="G609" s="9"/>
    </row>
    <row r="610" spans="4:7" ht="23.25" customHeight="1" x14ac:dyDescent="0.3">
      <c r="D610" s="9"/>
      <c r="G610" s="9"/>
    </row>
    <row r="611" spans="4:7" ht="23.25" customHeight="1" x14ac:dyDescent="0.3">
      <c r="D611" s="9"/>
      <c r="G611" s="9"/>
    </row>
    <row r="612" spans="4:7" ht="23.25" customHeight="1" x14ac:dyDescent="0.3">
      <c r="D612" s="9"/>
      <c r="G612" s="9"/>
    </row>
    <row r="613" spans="4:7" ht="23.25" customHeight="1" x14ac:dyDescent="0.3">
      <c r="D613" s="9"/>
      <c r="G613" s="9"/>
    </row>
    <row r="614" spans="4:7" ht="23.25" customHeight="1" x14ac:dyDescent="0.3">
      <c r="D614" s="9"/>
      <c r="G614" s="9"/>
    </row>
    <row r="615" spans="4:7" ht="23.25" customHeight="1" x14ac:dyDescent="0.3">
      <c r="D615" s="9"/>
      <c r="G615" s="9"/>
    </row>
    <row r="616" spans="4:7" ht="23.25" customHeight="1" x14ac:dyDescent="0.3">
      <c r="D616" s="9"/>
      <c r="G616" s="9"/>
    </row>
    <row r="617" spans="4:7" ht="23.25" customHeight="1" x14ac:dyDescent="0.3">
      <c r="D617" s="9"/>
      <c r="G617" s="9"/>
    </row>
    <row r="618" spans="4:7" ht="23.25" customHeight="1" x14ac:dyDescent="0.3">
      <c r="D618" s="9"/>
      <c r="G618" s="9"/>
    </row>
    <row r="619" spans="4:7" ht="23.25" customHeight="1" x14ac:dyDescent="0.3">
      <c r="D619" s="9"/>
      <c r="G619" s="9"/>
    </row>
    <row r="620" spans="4:7" ht="23.25" customHeight="1" x14ac:dyDescent="0.3">
      <c r="D620" s="9"/>
      <c r="G620" s="9"/>
    </row>
    <row r="621" spans="4:7" ht="23.25" customHeight="1" x14ac:dyDescent="0.3">
      <c r="D621" s="9"/>
      <c r="G621" s="9"/>
    </row>
    <row r="622" spans="4:7" ht="23.25" customHeight="1" x14ac:dyDescent="0.3">
      <c r="D622" s="9"/>
      <c r="G622" s="9"/>
    </row>
    <row r="623" spans="4:7" ht="23.25" customHeight="1" x14ac:dyDescent="0.3">
      <c r="D623" s="9"/>
      <c r="G623" s="9"/>
    </row>
    <row r="624" spans="4:7" ht="23.25" customHeight="1" x14ac:dyDescent="0.3">
      <c r="D624" s="9"/>
      <c r="G624" s="9"/>
    </row>
    <row r="625" spans="4:7" ht="23.25" customHeight="1" x14ac:dyDescent="0.3">
      <c r="D625" s="9"/>
      <c r="G625" s="9"/>
    </row>
    <row r="626" spans="4:7" ht="23.25" customHeight="1" x14ac:dyDescent="0.3">
      <c r="D626" s="9"/>
      <c r="G626" s="9"/>
    </row>
    <row r="627" spans="4:7" ht="23.25" customHeight="1" x14ac:dyDescent="0.3">
      <c r="D627" s="9"/>
      <c r="G627" s="9"/>
    </row>
    <row r="628" spans="4:7" ht="23.25" customHeight="1" x14ac:dyDescent="0.3">
      <c r="D628" s="9"/>
      <c r="G628" s="9"/>
    </row>
    <row r="629" spans="4:7" ht="23.25" customHeight="1" x14ac:dyDescent="0.3">
      <c r="D629" s="9"/>
      <c r="G629" s="9"/>
    </row>
    <row r="630" spans="4:7" ht="23.25" customHeight="1" x14ac:dyDescent="0.3">
      <c r="D630" s="9"/>
      <c r="G630" s="9"/>
    </row>
    <row r="631" spans="4:7" ht="23.25" customHeight="1" x14ac:dyDescent="0.3">
      <c r="D631" s="9"/>
      <c r="G631" s="9"/>
    </row>
    <row r="632" spans="4:7" ht="23.25" customHeight="1" x14ac:dyDescent="0.3">
      <c r="D632" s="9"/>
      <c r="G632" s="9"/>
    </row>
    <row r="633" spans="4:7" ht="23.25" customHeight="1" x14ac:dyDescent="0.3">
      <c r="D633" s="9"/>
      <c r="G633" s="9"/>
    </row>
    <row r="634" spans="4:7" ht="23.25" customHeight="1" x14ac:dyDescent="0.3">
      <c r="D634" s="9"/>
      <c r="G634" s="9"/>
    </row>
    <row r="635" spans="4:7" ht="23.25" customHeight="1" x14ac:dyDescent="0.3">
      <c r="D635" s="9"/>
      <c r="G635" s="9"/>
    </row>
    <row r="636" spans="4:7" ht="23.25" customHeight="1" x14ac:dyDescent="0.3">
      <c r="D636" s="9"/>
      <c r="G636" s="9"/>
    </row>
    <row r="637" spans="4:7" ht="23.25" customHeight="1" x14ac:dyDescent="0.3">
      <c r="D637" s="9"/>
      <c r="G637" s="9"/>
    </row>
    <row r="638" spans="4:7" ht="23.25" customHeight="1" x14ac:dyDescent="0.3">
      <c r="D638" s="9"/>
      <c r="G638" s="9"/>
    </row>
    <row r="639" spans="4:7" ht="23.25" customHeight="1" x14ac:dyDescent="0.3">
      <c r="D639" s="9"/>
      <c r="G639" s="9"/>
    </row>
    <row r="640" spans="4:7" ht="23.25" customHeight="1" x14ac:dyDescent="0.3">
      <c r="D640" s="9"/>
      <c r="G640" s="9"/>
    </row>
    <row r="641" spans="4:7" ht="23.25" customHeight="1" x14ac:dyDescent="0.3">
      <c r="D641" s="9"/>
      <c r="G641" s="9"/>
    </row>
    <row r="642" spans="4:7" ht="23.25" customHeight="1" x14ac:dyDescent="0.3">
      <c r="D642" s="9"/>
      <c r="G642" s="9"/>
    </row>
    <row r="643" spans="4:7" ht="23.25" customHeight="1" x14ac:dyDescent="0.3">
      <c r="D643" s="9"/>
      <c r="G643" s="9"/>
    </row>
    <row r="644" spans="4:7" ht="23.25" customHeight="1" x14ac:dyDescent="0.3">
      <c r="D644" s="9"/>
      <c r="G644" s="9"/>
    </row>
    <row r="645" spans="4:7" ht="23.25" customHeight="1" x14ac:dyDescent="0.3">
      <c r="D645" s="9"/>
      <c r="G645" s="9"/>
    </row>
    <row r="646" spans="4:7" ht="23.25" customHeight="1" x14ac:dyDescent="0.3">
      <c r="D646" s="9"/>
      <c r="G646" s="9"/>
    </row>
    <row r="647" spans="4:7" ht="23.25" customHeight="1" x14ac:dyDescent="0.3">
      <c r="D647" s="9"/>
      <c r="G647" s="9"/>
    </row>
    <row r="648" spans="4:7" ht="23.25" customHeight="1" x14ac:dyDescent="0.3">
      <c r="D648" s="9"/>
      <c r="G648" s="9"/>
    </row>
    <row r="649" spans="4:7" ht="23.25" customHeight="1" x14ac:dyDescent="0.3">
      <c r="D649" s="9"/>
      <c r="G649" s="9"/>
    </row>
    <row r="650" spans="4:7" ht="23.25" customHeight="1" x14ac:dyDescent="0.3">
      <c r="D650" s="9"/>
      <c r="G650" s="9"/>
    </row>
    <row r="651" spans="4:7" ht="23.25" customHeight="1" x14ac:dyDescent="0.3">
      <c r="D651" s="9"/>
      <c r="G651" s="9"/>
    </row>
    <row r="652" spans="4:7" ht="23.25" customHeight="1" x14ac:dyDescent="0.3">
      <c r="D652" s="9"/>
      <c r="G652" s="9"/>
    </row>
    <row r="653" spans="4:7" ht="23.25" customHeight="1" x14ac:dyDescent="0.3">
      <c r="D653" s="9"/>
      <c r="G653" s="9"/>
    </row>
    <row r="654" spans="4:7" ht="23.25" customHeight="1" x14ac:dyDescent="0.3">
      <c r="D654" s="9"/>
      <c r="G654" s="9"/>
    </row>
    <row r="655" spans="4:7" ht="23.25" customHeight="1" x14ac:dyDescent="0.3">
      <c r="D655" s="9"/>
      <c r="G655" s="9"/>
    </row>
    <row r="656" spans="4:7" ht="23.25" customHeight="1" x14ac:dyDescent="0.3">
      <c r="D656" s="9"/>
      <c r="G656" s="9"/>
    </row>
    <row r="657" spans="4:7" ht="23.25" customHeight="1" x14ac:dyDescent="0.3">
      <c r="D657" s="9"/>
      <c r="G657" s="9"/>
    </row>
    <row r="658" spans="4:7" ht="23.25" customHeight="1" x14ac:dyDescent="0.3">
      <c r="D658" s="9"/>
      <c r="G658" s="9"/>
    </row>
    <row r="659" spans="4:7" ht="23.25" customHeight="1" x14ac:dyDescent="0.3">
      <c r="D659" s="9"/>
      <c r="G659" s="9"/>
    </row>
    <row r="660" spans="4:7" ht="23.25" customHeight="1" x14ac:dyDescent="0.3">
      <c r="D660" s="9"/>
      <c r="G660" s="9"/>
    </row>
    <row r="661" spans="4:7" ht="23.25" customHeight="1" x14ac:dyDescent="0.3">
      <c r="D661" s="9"/>
      <c r="G661" s="9"/>
    </row>
    <row r="662" spans="4:7" ht="23.25" customHeight="1" x14ac:dyDescent="0.3">
      <c r="D662" s="9"/>
      <c r="G662" s="9"/>
    </row>
    <row r="663" spans="4:7" ht="23.25" customHeight="1" x14ac:dyDescent="0.3">
      <c r="D663" s="9"/>
      <c r="G663" s="9"/>
    </row>
    <row r="664" spans="4:7" ht="23.25" customHeight="1" x14ac:dyDescent="0.3">
      <c r="D664" s="9"/>
      <c r="G664" s="9"/>
    </row>
    <row r="665" spans="4:7" ht="23.25" customHeight="1" x14ac:dyDescent="0.3">
      <c r="D665" s="9"/>
      <c r="G665" s="9"/>
    </row>
    <row r="666" spans="4:7" ht="23.25" customHeight="1" x14ac:dyDescent="0.3">
      <c r="D666" s="9"/>
      <c r="G666" s="9"/>
    </row>
    <row r="667" spans="4:7" ht="23.25" customHeight="1" x14ac:dyDescent="0.3">
      <c r="D667" s="9"/>
      <c r="G667" s="9"/>
    </row>
    <row r="668" spans="4:7" ht="23.25" customHeight="1" x14ac:dyDescent="0.3">
      <c r="D668" s="9"/>
      <c r="G668" s="9"/>
    </row>
    <row r="669" spans="4:7" ht="23.25" customHeight="1" x14ac:dyDescent="0.3">
      <c r="D669" s="9"/>
      <c r="G669" s="9"/>
    </row>
    <row r="670" spans="4:7" ht="23.25" customHeight="1" x14ac:dyDescent="0.3">
      <c r="D670" s="9"/>
      <c r="G670" s="9"/>
    </row>
    <row r="671" spans="4:7" ht="23.25" customHeight="1" x14ac:dyDescent="0.3">
      <c r="D671" s="9"/>
      <c r="G671" s="9"/>
    </row>
    <row r="672" spans="4:7" ht="23.25" customHeight="1" x14ac:dyDescent="0.3">
      <c r="D672" s="9"/>
      <c r="G672" s="9"/>
    </row>
    <row r="673" spans="4:7" ht="23.25" customHeight="1" x14ac:dyDescent="0.3">
      <c r="D673" s="9"/>
      <c r="G673" s="9"/>
    </row>
    <row r="674" spans="4:7" ht="23.25" customHeight="1" x14ac:dyDescent="0.3">
      <c r="D674" s="9"/>
      <c r="G674" s="9"/>
    </row>
    <row r="675" spans="4:7" ht="23.25" customHeight="1" x14ac:dyDescent="0.3">
      <c r="D675" s="9"/>
      <c r="G675" s="9"/>
    </row>
    <row r="676" spans="4:7" ht="23.25" customHeight="1" x14ac:dyDescent="0.3">
      <c r="D676" s="9"/>
      <c r="G676" s="9"/>
    </row>
    <row r="677" spans="4:7" ht="23.25" customHeight="1" x14ac:dyDescent="0.3">
      <c r="D677" s="9"/>
      <c r="G677" s="9"/>
    </row>
    <row r="678" spans="4:7" ht="23.25" customHeight="1" x14ac:dyDescent="0.3">
      <c r="D678" s="9"/>
      <c r="G678" s="9"/>
    </row>
    <row r="679" spans="4:7" ht="23.25" customHeight="1" x14ac:dyDescent="0.3">
      <c r="D679" s="9"/>
      <c r="G679" s="9"/>
    </row>
    <row r="680" spans="4:7" ht="23.25" customHeight="1" x14ac:dyDescent="0.3">
      <c r="D680" s="9"/>
      <c r="G680" s="9"/>
    </row>
    <row r="681" spans="4:7" ht="23.25" customHeight="1" x14ac:dyDescent="0.3">
      <c r="D681" s="9"/>
      <c r="G681" s="9"/>
    </row>
    <row r="682" spans="4:7" ht="23.25" customHeight="1" x14ac:dyDescent="0.3">
      <c r="D682" s="9"/>
      <c r="G682" s="9"/>
    </row>
    <row r="683" spans="4:7" ht="23.25" customHeight="1" x14ac:dyDescent="0.3">
      <c r="D683" s="9"/>
      <c r="G683" s="9"/>
    </row>
    <row r="684" spans="4:7" ht="23.25" customHeight="1" x14ac:dyDescent="0.3">
      <c r="D684" s="9"/>
      <c r="G684" s="9"/>
    </row>
    <row r="685" spans="4:7" ht="23.25" customHeight="1" x14ac:dyDescent="0.3">
      <c r="D685" s="9"/>
      <c r="G685" s="9"/>
    </row>
    <row r="686" spans="4:7" ht="23.25" customHeight="1" x14ac:dyDescent="0.3">
      <c r="D686" s="9"/>
      <c r="G686" s="9"/>
    </row>
    <row r="687" spans="4:7" ht="23.25" customHeight="1" x14ac:dyDescent="0.3">
      <c r="D687" s="9"/>
      <c r="G687" s="9"/>
    </row>
    <row r="688" spans="4:7" ht="23.25" customHeight="1" x14ac:dyDescent="0.3">
      <c r="D688" s="9"/>
      <c r="G688" s="9"/>
    </row>
    <row r="689" spans="4:7" ht="23.25" customHeight="1" x14ac:dyDescent="0.3">
      <c r="D689" s="9"/>
      <c r="G689" s="9"/>
    </row>
    <row r="690" spans="4:7" ht="23.25" customHeight="1" x14ac:dyDescent="0.3">
      <c r="D690" s="9"/>
      <c r="G690" s="9"/>
    </row>
    <row r="691" spans="4:7" ht="23.25" customHeight="1" x14ac:dyDescent="0.3">
      <c r="D691" s="9"/>
      <c r="G691" s="9"/>
    </row>
    <row r="692" spans="4:7" ht="23.25" customHeight="1" x14ac:dyDescent="0.3">
      <c r="D692" s="9"/>
      <c r="G692" s="9"/>
    </row>
    <row r="693" spans="4:7" ht="23.25" customHeight="1" x14ac:dyDescent="0.3">
      <c r="D693" s="9"/>
      <c r="G693" s="9"/>
    </row>
    <row r="694" spans="4:7" ht="23.25" customHeight="1" x14ac:dyDescent="0.3">
      <c r="D694" s="9"/>
      <c r="G694" s="9"/>
    </row>
    <row r="695" spans="4:7" ht="23.25" customHeight="1" x14ac:dyDescent="0.3">
      <c r="D695" s="9"/>
      <c r="G695" s="9"/>
    </row>
    <row r="696" spans="4:7" ht="23.25" customHeight="1" x14ac:dyDescent="0.3">
      <c r="D696" s="9"/>
      <c r="G696" s="9"/>
    </row>
    <row r="697" spans="4:7" ht="23.25" customHeight="1" x14ac:dyDescent="0.3">
      <c r="D697" s="9"/>
      <c r="G697" s="9"/>
    </row>
    <row r="698" spans="4:7" ht="23.25" customHeight="1" x14ac:dyDescent="0.3">
      <c r="D698" s="9"/>
      <c r="G698" s="9"/>
    </row>
    <row r="699" spans="4:7" ht="23.25" customHeight="1" x14ac:dyDescent="0.3">
      <c r="D699" s="9"/>
      <c r="G699" s="9"/>
    </row>
    <row r="700" spans="4:7" ht="23.25" customHeight="1" x14ac:dyDescent="0.3">
      <c r="D700" s="9"/>
      <c r="G700" s="9"/>
    </row>
    <row r="701" spans="4:7" ht="23.25" customHeight="1" x14ac:dyDescent="0.3">
      <c r="D701" s="9"/>
      <c r="G701" s="9"/>
    </row>
    <row r="702" spans="4:7" ht="23.25" customHeight="1" x14ac:dyDescent="0.3">
      <c r="D702" s="9"/>
      <c r="G702" s="9"/>
    </row>
    <row r="703" spans="4:7" ht="23.25" customHeight="1" x14ac:dyDescent="0.3">
      <c r="D703" s="9"/>
      <c r="G703" s="9"/>
    </row>
    <row r="704" spans="4:7" ht="23.25" customHeight="1" x14ac:dyDescent="0.3">
      <c r="D704" s="9"/>
      <c r="G704" s="9"/>
    </row>
    <row r="705" spans="4:7" ht="23.25" customHeight="1" x14ac:dyDescent="0.3">
      <c r="D705" s="9"/>
      <c r="G705" s="9"/>
    </row>
    <row r="706" spans="4:7" ht="23.25" customHeight="1" x14ac:dyDescent="0.3">
      <c r="D706" s="9"/>
      <c r="G706" s="9"/>
    </row>
    <row r="707" spans="4:7" ht="23.25" customHeight="1" x14ac:dyDescent="0.3">
      <c r="D707" s="9"/>
      <c r="G707" s="9"/>
    </row>
    <row r="708" spans="4:7" ht="23.25" customHeight="1" x14ac:dyDescent="0.3">
      <c r="D708" s="9"/>
      <c r="G708" s="9"/>
    </row>
    <row r="709" spans="4:7" ht="23.25" customHeight="1" x14ac:dyDescent="0.3">
      <c r="D709" s="9"/>
      <c r="G709" s="9"/>
    </row>
    <row r="710" spans="4:7" ht="23.25" customHeight="1" x14ac:dyDescent="0.3">
      <c r="D710" s="9"/>
      <c r="G710" s="9"/>
    </row>
    <row r="711" spans="4:7" ht="23.25" customHeight="1" x14ac:dyDescent="0.3">
      <c r="D711" s="9"/>
      <c r="G711" s="9"/>
    </row>
    <row r="712" spans="4:7" ht="23.25" customHeight="1" x14ac:dyDescent="0.3">
      <c r="D712" s="9"/>
      <c r="G712" s="9"/>
    </row>
    <row r="713" spans="4:7" ht="23.25" customHeight="1" x14ac:dyDescent="0.3">
      <c r="D713" s="9"/>
      <c r="G713" s="9"/>
    </row>
    <row r="714" spans="4:7" ht="23.25" customHeight="1" x14ac:dyDescent="0.3">
      <c r="D714" s="9"/>
      <c r="G714" s="9"/>
    </row>
    <row r="715" spans="4:7" ht="23.25" customHeight="1" x14ac:dyDescent="0.3">
      <c r="D715" s="9"/>
      <c r="G715" s="9"/>
    </row>
    <row r="716" spans="4:7" ht="23.25" customHeight="1" x14ac:dyDescent="0.3">
      <c r="D716" s="9"/>
      <c r="G716" s="9"/>
    </row>
    <row r="717" spans="4:7" ht="23.25" customHeight="1" x14ac:dyDescent="0.3">
      <c r="D717" s="9"/>
      <c r="G717" s="9"/>
    </row>
    <row r="718" spans="4:7" ht="23.25" customHeight="1" x14ac:dyDescent="0.3">
      <c r="D718" s="9"/>
      <c r="G718" s="9"/>
    </row>
    <row r="719" spans="4:7" ht="23.25" customHeight="1" x14ac:dyDescent="0.3">
      <c r="D719" s="9"/>
      <c r="G719" s="9"/>
    </row>
    <row r="720" spans="4:7" ht="23.25" customHeight="1" x14ac:dyDescent="0.3">
      <c r="D720" s="9"/>
      <c r="G720" s="9"/>
    </row>
    <row r="721" spans="4:7" ht="23.25" customHeight="1" x14ac:dyDescent="0.3">
      <c r="D721" s="9"/>
      <c r="G721" s="9"/>
    </row>
    <row r="722" spans="4:7" ht="23.25" customHeight="1" x14ac:dyDescent="0.3">
      <c r="D722" s="9"/>
      <c r="G722" s="9"/>
    </row>
    <row r="723" spans="4:7" ht="23.25" customHeight="1" x14ac:dyDescent="0.3">
      <c r="D723" s="9"/>
      <c r="G723" s="9"/>
    </row>
    <row r="724" spans="4:7" ht="23.25" customHeight="1" x14ac:dyDescent="0.3">
      <c r="D724" s="9"/>
      <c r="G724" s="9"/>
    </row>
    <row r="725" spans="4:7" ht="23.25" customHeight="1" x14ac:dyDescent="0.3">
      <c r="D725" s="9"/>
      <c r="G725" s="9"/>
    </row>
    <row r="726" spans="4:7" ht="23.25" customHeight="1" x14ac:dyDescent="0.3">
      <c r="D726" s="9"/>
      <c r="G726" s="9"/>
    </row>
    <row r="727" spans="4:7" ht="23.25" customHeight="1" x14ac:dyDescent="0.3">
      <c r="D727" s="9"/>
      <c r="G727" s="9"/>
    </row>
    <row r="728" spans="4:7" ht="23.25" customHeight="1" x14ac:dyDescent="0.3">
      <c r="D728" s="9"/>
      <c r="G728" s="9"/>
    </row>
    <row r="729" spans="4:7" ht="23.25" customHeight="1" x14ac:dyDescent="0.3">
      <c r="D729" s="9"/>
      <c r="G729" s="9"/>
    </row>
    <row r="730" spans="4:7" ht="23.25" customHeight="1" x14ac:dyDescent="0.3">
      <c r="D730" s="9"/>
      <c r="G730" s="9"/>
    </row>
    <row r="731" spans="4:7" ht="23.25" customHeight="1" x14ac:dyDescent="0.3">
      <c r="D731" s="9"/>
      <c r="G731" s="9"/>
    </row>
    <row r="732" spans="4:7" ht="23.25" customHeight="1" x14ac:dyDescent="0.3">
      <c r="D732" s="9"/>
      <c r="G732" s="9"/>
    </row>
    <row r="733" spans="4:7" ht="23.25" customHeight="1" x14ac:dyDescent="0.3">
      <c r="D733" s="9"/>
      <c r="G733" s="9"/>
    </row>
    <row r="734" spans="4:7" ht="23.25" customHeight="1" x14ac:dyDescent="0.3">
      <c r="D734" s="9"/>
      <c r="G734" s="9"/>
    </row>
    <row r="735" spans="4:7" ht="23.25" customHeight="1" x14ac:dyDescent="0.3">
      <c r="D735" s="9"/>
      <c r="G735" s="9"/>
    </row>
    <row r="736" spans="4:7" ht="23.25" customHeight="1" x14ac:dyDescent="0.3">
      <c r="D736" s="9"/>
      <c r="G736" s="9"/>
    </row>
    <row r="737" spans="4:7" ht="23.25" customHeight="1" x14ac:dyDescent="0.3">
      <c r="D737" s="9"/>
      <c r="G737" s="9"/>
    </row>
    <row r="738" spans="4:7" ht="23.25" customHeight="1" x14ac:dyDescent="0.3">
      <c r="D738" s="9"/>
      <c r="G738" s="9"/>
    </row>
    <row r="739" spans="4:7" ht="23.25" customHeight="1" x14ac:dyDescent="0.3">
      <c r="D739" s="9"/>
      <c r="G739" s="9"/>
    </row>
    <row r="740" spans="4:7" ht="23.25" customHeight="1" x14ac:dyDescent="0.3">
      <c r="D740" s="9"/>
      <c r="G740" s="9"/>
    </row>
    <row r="741" spans="4:7" ht="23.25" customHeight="1" x14ac:dyDescent="0.3">
      <c r="D741" s="9"/>
      <c r="G741" s="9"/>
    </row>
    <row r="742" spans="4:7" ht="23.25" customHeight="1" x14ac:dyDescent="0.3">
      <c r="D742" s="9"/>
      <c r="G742" s="9"/>
    </row>
    <row r="743" spans="4:7" ht="23.25" customHeight="1" x14ac:dyDescent="0.3">
      <c r="D743" s="9"/>
      <c r="G743" s="9"/>
    </row>
    <row r="744" spans="4:7" ht="23.25" customHeight="1" x14ac:dyDescent="0.3">
      <c r="D744" s="9"/>
      <c r="G744" s="9"/>
    </row>
    <row r="745" spans="4:7" ht="23.25" customHeight="1" x14ac:dyDescent="0.3">
      <c r="D745" s="9"/>
      <c r="G745" s="9"/>
    </row>
    <row r="746" spans="4:7" ht="23.25" customHeight="1" x14ac:dyDescent="0.3">
      <c r="D746" s="9"/>
      <c r="G746" s="9"/>
    </row>
    <row r="747" spans="4:7" ht="23.25" customHeight="1" x14ac:dyDescent="0.3">
      <c r="D747" s="9"/>
      <c r="G747" s="9"/>
    </row>
    <row r="748" spans="4:7" ht="23.25" customHeight="1" x14ac:dyDescent="0.3">
      <c r="D748" s="9"/>
      <c r="G748" s="9"/>
    </row>
    <row r="749" spans="4:7" ht="23.25" customHeight="1" x14ac:dyDescent="0.3">
      <c r="D749" s="9"/>
      <c r="G749" s="9"/>
    </row>
    <row r="750" spans="4:7" ht="23.25" customHeight="1" x14ac:dyDescent="0.3">
      <c r="D750" s="9"/>
      <c r="G750" s="9"/>
    </row>
    <row r="751" spans="4:7" ht="23.25" customHeight="1" x14ac:dyDescent="0.3">
      <c r="D751" s="9"/>
      <c r="G751" s="9"/>
    </row>
    <row r="752" spans="4:7" ht="23.25" customHeight="1" x14ac:dyDescent="0.3">
      <c r="D752" s="9"/>
      <c r="G752" s="9"/>
    </row>
    <row r="753" spans="4:7" ht="23.25" customHeight="1" x14ac:dyDescent="0.3">
      <c r="D753" s="9"/>
      <c r="G753" s="9"/>
    </row>
    <row r="754" spans="4:7" ht="23.25" customHeight="1" x14ac:dyDescent="0.3">
      <c r="D754" s="9"/>
      <c r="G754" s="9"/>
    </row>
    <row r="755" spans="4:7" ht="23.25" customHeight="1" x14ac:dyDescent="0.3">
      <c r="D755" s="9"/>
      <c r="G755" s="9"/>
    </row>
    <row r="756" spans="4:7" ht="23.25" customHeight="1" x14ac:dyDescent="0.3">
      <c r="D756" s="9"/>
      <c r="G756" s="9"/>
    </row>
    <row r="757" spans="4:7" ht="23.25" customHeight="1" x14ac:dyDescent="0.3">
      <c r="D757" s="9"/>
      <c r="G757" s="9"/>
    </row>
    <row r="758" spans="4:7" ht="23.25" customHeight="1" x14ac:dyDescent="0.3">
      <c r="D758" s="9"/>
      <c r="G758" s="9"/>
    </row>
    <row r="759" spans="4:7" ht="23.25" customHeight="1" x14ac:dyDescent="0.3">
      <c r="D759" s="9"/>
      <c r="G759" s="9"/>
    </row>
    <row r="760" spans="4:7" ht="23.25" customHeight="1" x14ac:dyDescent="0.3">
      <c r="D760" s="9"/>
      <c r="G760" s="9"/>
    </row>
    <row r="761" spans="4:7" ht="23.25" customHeight="1" x14ac:dyDescent="0.3">
      <c r="D761" s="9"/>
      <c r="G761" s="9"/>
    </row>
    <row r="762" spans="4:7" ht="23.25" customHeight="1" x14ac:dyDescent="0.3">
      <c r="D762" s="9"/>
      <c r="G762" s="9"/>
    </row>
    <row r="763" spans="4:7" ht="23.25" customHeight="1" x14ac:dyDescent="0.3">
      <c r="D763" s="9"/>
      <c r="G763" s="9"/>
    </row>
    <row r="764" spans="4:7" ht="23.25" customHeight="1" x14ac:dyDescent="0.3">
      <c r="D764" s="9"/>
      <c r="G764" s="9"/>
    </row>
    <row r="765" spans="4:7" ht="23.25" customHeight="1" x14ac:dyDescent="0.3">
      <c r="D765" s="9"/>
      <c r="G765" s="9"/>
    </row>
    <row r="766" spans="4:7" ht="23.25" customHeight="1" x14ac:dyDescent="0.3">
      <c r="D766" s="9"/>
      <c r="G766" s="9"/>
    </row>
    <row r="767" spans="4:7" ht="23.25" customHeight="1" x14ac:dyDescent="0.3">
      <c r="D767" s="9"/>
      <c r="G767" s="9"/>
    </row>
    <row r="768" spans="4:7" ht="23.25" customHeight="1" x14ac:dyDescent="0.3">
      <c r="D768" s="9"/>
      <c r="G768" s="9"/>
    </row>
    <row r="769" spans="4:7" ht="23.25" customHeight="1" x14ac:dyDescent="0.3">
      <c r="D769" s="9"/>
      <c r="G769" s="9"/>
    </row>
    <row r="770" spans="4:7" ht="23.25" customHeight="1" x14ac:dyDescent="0.3">
      <c r="D770" s="9"/>
      <c r="G770" s="9"/>
    </row>
    <row r="771" spans="4:7" ht="23.25" customHeight="1" x14ac:dyDescent="0.3">
      <c r="D771" s="9"/>
      <c r="G771" s="9"/>
    </row>
    <row r="772" spans="4:7" ht="23.25" customHeight="1" x14ac:dyDescent="0.3">
      <c r="D772" s="9"/>
      <c r="G772" s="9"/>
    </row>
    <row r="773" spans="4:7" ht="23.25" customHeight="1" x14ac:dyDescent="0.3">
      <c r="D773" s="9"/>
      <c r="G773" s="9"/>
    </row>
    <row r="774" spans="4:7" ht="23.25" customHeight="1" x14ac:dyDescent="0.3">
      <c r="D774" s="9"/>
      <c r="G774" s="9"/>
    </row>
    <row r="775" spans="4:7" ht="23.25" customHeight="1" x14ac:dyDescent="0.3">
      <c r="D775" s="9"/>
      <c r="G775" s="9"/>
    </row>
    <row r="776" spans="4:7" ht="23.25" customHeight="1" x14ac:dyDescent="0.3">
      <c r="D776" s="9"/>
      <c r="G776" s="9"/>
    </row>
    <row r="777" spans="4:7" ht="23.25" customHeight="1" x14ac:dyDescent="0.3">
      <c r="D777" s="9"/>
      <c r="G777" s="9"/>
    </row>
    <row r="778" spans="4:7" ht="23.25" customHeight="1" x14ac:dyDescent="0.3">
      <c r="D778" s="9"/>
      <c r="G778" s="9"/>
    </row>
    <row r="779" spans="4:7" ht="23.25" customHeight="1" x14ac:dyDescent="0.3">
      <c r="D779" s="9"/>
      <c r="G779" s="9"/>
    </row>
    <row r="780" spans="4:7" ht="23.25" customHeight="1" x14ac:dyDescent="0.3">
      <c r="D780" s="9"/>
      <c r="G780" s="9"/>
    </row>
    <row r="781" spans="4:7" ht="23.25" customHeight="1" x14ac:dyDescent="0.3">
      <c r="D781" s="9"/>
      <c r="G781" s="9"/>
    </row>
    <row r="782" spans="4:7" ht="23.25" customHeight="1" x14ac:dyDescent="0.3">
      <c r="D782" s="9"/>
      <c r="G782" s="9"/>
    </row>
    <row r="783" spans="4:7" ht="23.25" customHeight="1" x14ac:dyDescent="0.3">
      <c r="D783" s="9"/>
      <c r="G783" s="9"/>
    </row>
    <row r="784" spans="4:7" ht="23.25" customHeight="1" x14ac:dyDescent="0.3">
      <c r="D784" s="9"/>
      <c r="G784" s="9"/>
    </row>
    <row r="785" spans="4:7" ht="23.25" customHeight="1" x14ac:dyDescent="0.3">
      <c r="D785" s="9"/>
      <c r="G785" s="9"/>
    </row>
    <row r="786" spans="4:7" ht="23.25" customHeight="1" x14ac:dyDescent="0.3">
      <c r="D786" s="9"/>
      <c r="G786" s="9"/>
    </row>
    <row r="787" spans="4:7" ht="23.25" customHeight="1" x14ac:dyDescent="0.3">
      <c r="D787" s="9"/>
      <c r="G787" s="9"/>
    </row>
    <row r="788" spans="4:7" ht="23.25" customHeight="1" x14ac:dyDescent="0.3">
      <c r="D788" s="9"/>
      <c r="G788" s="9"/>
    </row>
    <row r="789" spans="4:7" ht="23.25" customHeight="1" x14ac:dyDescent="0.3">
      <c r="D789" s="9"/>
      <c r="G789" s="9"/>
    </row>
    <row r="790" spans="4:7" ht="23.25" customHeight="1" x14ac:dyDescent="0.3">
      <c r="D790" s="9"/>
      <c r="G790" s="9"/>
    </row>
    <row r="791" spans="4:7" ht="23.25" customHeight="1" x14ac:dyDescent="0.3">
      <c r="D791" s="9"/>
      <c r="G791" s="9"/>
    </row>
    <row r="792" spans="4:7" ht="23.25" customHeight="1" x14ac:dyDescent="0.3">
      <c r="D792" s="9"/>
      <c r="G792" s="9"/>
    </row>
    <row r="793" spans="4:7" ht="23.25" customHeight="1" x14ac:dyDescent="0.3">
      <c r="D793" s="9"/>
      <c r="G793" s="9"/>
    </row>
    <row r="794" spans="4:7" ht="23.25" customHeight="1" x14ac:dyDescent="0.3">
      <c r="D794" s="9"/>
      <c r="G794" s="9"/>
    </row>
    <row r="795" spans="4:7" ht="23.25" customHeight="1" x14ac:dyDescent="0.3">
      <c r="D795" s="9"/>
      <c r="G795" s="9"/>
    </row>
    <row r="796" spans="4:7" ht="23.25" customHeight="1" x14ac:dyDescent="0.3">
      <c r="D796" s="9"/>
      <c r="G796" s="9"/>
    </row>
    <row r="797" spans="4:7" ht="23.25" customHeight="1" x14ac:dyDescent="0.3">
      <c r="D797" s="9"/>
      <c r="G797" s="9"/>
    </row>
    <row r="798" spans="4:7" ht="23.25" customHeight="1" x14ac:dyDescent="0.3">
      <c r="D798" s="9"/>
      <c r="G798" s="9"/>
    </row>
    <row r="799" spans="4:7" ht="23.25" customHeight="1" x14ac:dyDescent="0.3">
      <c r="D799" s="9"/>
      <c r="G799" s="9"/>
    </row>
    <row r="800" spans="4:7" ht="23.25" customHeight="1" x14ac:dyDescent="0.3">
      <c r="D800" s="9"/>
      <c r="G800" s="9"/>
    </row>
    <row r="801" spans="4:7" ht="23.25" customHeight="1" x14ac:dyDescent="0.3">
      <c r="D801" s="9"/>
      <c r="G801" s="9"/>
    </row>
    <row r="802" spans="4:7" ht="23.25" customHeight="1" x14ac:dyDescent="0.3">
      <c r="D802" s="9"/>
      <c r="G802" s="9"/>
    </row>
    <row r="803" spans="4:7" ht="23.25" customHeight="1" x14ac:dyDescent="0.3">
      <c r="D803" s="9"/>
      <c r="G803" s="9"/>
    </row>
    <row r="804" spans="4:7" ht="23.25" customHeight="1" x14ac:dyDescent="0.3">
      <c r="D804" s="9"/>
      <c r="G804" s="9"/>
    </row>
    <row r="805" spans="4:7" ht="23.25" customHeight="1" x14ac:dyDescent="0.3">
      <c r="D805" s="9"/>
      <c r="G805" s="9"/>
    </row>
    <row r="806" spans="4:7" ht="23.25" customHeight="1" x14ac:dyDescent="0.3">
      <c r="D806" s="9"/>
      <c r="G806" s="9"/>
    </row>
    <row r="807" spans="4:7" ht="23.25" customHeight="1" x14ac:dyDescent="0.3">
      <c r="D807" s="9"/>
      <c r="G807" s="9"/>
    </row>
    <row r="808" spans="4:7" ht="23.25" customHeight="1" x14ac:dyDescent="0.3">
      <c r="D808" s="9"/>
      <c r="G808" s="9"/>
    </row>
    <row r="809" spans="4:7" ht="23.25" customHeight="1" x14ac:dyDescent="0.3">
      <c r="D809" s="9"/>
      <c r="G809" s="9"/>
    </row>
    <row r="810" spans="4:7" ht="23.25" customHeight="1" x14ac:dyDescent="0.3">
      <c r="D810" s="9"/>
      <c r="G810" s="9"/>
    </row>
    <row r="811" spans="4:7" ht="23.25" customHeight="1" x14ac:dyDescent="0.3">
      <c r="D811" s="9"/>
      <c r="G811" s="9"/>
    </row>
    <row r="812" spans="4:7" ht="23.25" customHeight="1" x14ac:dyDescent="0.3">
      <c r="D812" s="9"/>
      <c r="G812" s="9"/>
    </row>
    <row r="813" spans="4:7" ht="23.25" customHeight="1" x14ac:dyDescent="0.3">
      <c r="D813" s="9"/>
      <c r="G813" s="9"/>
    </row>
    <row r="814" spans="4:7" ht="23.25" customHeight="1" x14ac:dyDescent="0.3">
      <c r="D814" s="9"/>
      <c r="G814" s="9"/>
    </row>
    <row r="815" spans="4:7" ht="23.25" customHeight="1" x14ac:dyDescent="0.3">
      <c r="D815" s="9"/>
      <c r="G815" s="9"/>
    </row>
    <row r="816" spans="4:7" ht="23.25" customHeight="1" x14ac:dyDescent="0.3">
      <c r="D816" s="9"/>
      <c r="G816" s="9"/>
    </row>
    <row r="817" spans="4:7" ht="23.25" customHeight="1" x14ac:dyDescent="0.3">
      <c r="D817" s="9"/>
      <c r="G817" s="9"/>
    </row>
    <row r="818" spans="4:7" ht="23.25" customHeight="1" x14ac:dyDescent="0.3">
      <c r="D818" s="9"/>
      <c r="G818" s="9"/>
    </row>
    <row r="819" spans="4:7" ht="23.25" customHeight="1" x14ac:dyDescent="0.3">
      <c r="D819" s="9"/>
      <c r="G819" s="9"/>
    </row>
    <row r="820" spans="4:7" ht="23.25" customHeight="1" x14ac:dyDescent="0.3">
      <c r="D820" s="9"/>
      <c r="G820" s="9"/>
    </row>
    <row r="821" spans="4:7" ht="23.25" customHeight="1" x14ac:dyDescent="0.3">
      <c r="D821" s="9"/>
      <c r="G821" s="9"/>
    </row>
    <row r="822" spans="4:7" ht="23.25" customHeight="1" x14ac:dyDescent="0.3">
      <c r="D822" s="9"/>
      <c r="G822" s="9"/>
    </row>
    <row r="823" spans="4:7" ht="23.25" customHeight="1" x14ac:dyDescent="0.3">
      <c r="D823" s="9"/>
      <c r="G823" s="9"/>
    </row>
    <row r="824" spans="4:7" ht="23.25" customHeight="1" x14ac:dyDescent="0.3">
      <c r="D824" s="9"/>
      <c r="G824" s="9"/>
    </row>
    <row r="825" spans="4:7" ht="23.25" customHeight="1" x14ac:dyDescent="0.3">
      <c r="D825" s="9"/>
      <c r="G825" s="9"/>
    </row>
    <row r="826" spans="4:7" ht="23.25" customHeight="1" x14ac:dyDescent="0.3">
      <c r="D826" s="9"/>
      <c r="G826" s="9"/>
    </row>
    <row r="827" spans="4:7" ht="23.25" customHeight="1" x14ac:dyDescent="0.3">
      <c r="D827" s="9"/>
      <c r="G827" s="9"/>
    </row>
    <row r="828" spans="4:7" ht="23.25" customHeight="1" x14ac:dyDescent="0.3">
      <c r="D828" s="9"/>
      <c r="G828" s="9"/>
    </row>
    <row r="829" spans="4:7" ht="23.25" customHeight="1" x14ac:dyDescent="0.3">
      <c r="D829" s="9"/>
      <c r="G829" s="9"/>
    </row>
    <row r="830" spans="4:7" ht="23.25" customHeight="1" x14ac:dyDescent="0.3">
      <c r="D830" s="9"/>
      <c r="G830" s="9"/>
    </row>
    <row r="831" spans="4:7" ht="23.25" customHeight="1" x14ac:dyDescent="0.3">
      <c r="D831" s="9"/>
      <c r="G831" s="9"/>
    </row>
    <row r="832" spans="4:7" ht="23.25" customHeight="1" x14ac:dyDescent="0.3">
      <c r="D832" s="9"/>
      <c r="G832" s="9"/>
    </row>
    <row r="833" spans="4:7" ht="23.25" customHeight="1" x14ac:dyDescent="0.3">
      <c r="D833" s="9"/>
      <c r="G833" s="9"/>
    </row>
    <row r="834" spans="4:7" ht="23.25" customHeight="1" x14ac:dyDescent="0.3">
      <c r="D834" s="9"/>
      <c r="G834" s="9"/>
    </row>
    <row r="835" spans="4:7" ht="23.25" customHeight="1" x14ac:dyDescent="0.3">
      <c r="D835" s="9"/>
      <c r="G835" s="9"/>
    </row>
    <row r="836" spans="4:7" ht="23.25" customHeight="1" x14ac:dyDescent="0.3">
      <c r="D836" s="9"/>
      <c r="G836" s="9"/>
    </row>
    <row r="837" spans="4:7" ht="23.25" customHeight="1" x14ac:dyDescent="0.3">
      <c r="D837" s="9"/>
      <c r="G837" s="9"/>
    </row>
    <row r="838" spans="4:7" ht="23.25" customHeight="1" x14ac:dyDescent="0.3">
      <c r="D838" s="9"/>
      <c r="G838" s="9"/>
    </row>
    <row r="839" spans="4:7" ht="23.25" customHeight="1" x14ac:dyDescent="0.3">
      <c r="D839" s="9"/>
      <c r="G839" s="9"/>
    </row>
    <row r="840" spans="4:7" ht="23.25" customHeight="1" x14ac:dyDescent="0.3">
      <c r="D840" s="9"/>
      <c r="G840" s="9"/>
    </row>
    <row r="841" spans="4:7" ht="23.25" customHeight="1" x14ac:dyDescent="0.3">
      <c r="D841" s="9"/>
      <c r="G841" s="9"/>
    </row>
    <row r="842" spans="4:7" ht="23.25" customHeight="1" x14ac:dyDescent="0.3">
      <c r="D842" s="9"/>
      <c r="G842" s="9"/>
    </row>
    <row r="843" spans="4:7" ht="23.25" customHeight="1" x14ac:dyDescent="0.3">
      <c r="D843" s="9"/>
      <c r="G843" s="9"/>
    </row>
    <row r="844" spans="4:7" ht="23.25" customHeight="1" x14ac:dyDescent="0.3">
      <c r="D844" s="9"/>
      <c r="G844" s="9"/>
    </row>
    <row r="845" spans="4:7" ht="23.25" customHeight="1" x14ac:dyDescent="0.3">
      <c r="D845" s="9"/>
      <c r="G845" s="9"/>
    </row>
    <row r="846" spans="4:7" ht="23.25" customHeight="1" x14ac:dyDescent="0.3">
      <c r="D846" s="9"/>
      <c r="G846" s="9"/>
    </row>
    <row r="847" spans="4:7" ht="23.25" customHeight="1" x14ac:dyDescent="0.3">
      <c r="D847" s="9"/>
      <c r="G847" s="9"/>
    </row>
    <row r="848" spans="4:7" ht="23.25" customHeight="1" x14ac:dyDescent="0.3">
      <c r="D848" s="9"/>
      <c r="G848" s="9"/>
    </row>
    <row r="849" spans="4:7" ht="23.25" customHeight="1" x14ac:dyDescent="0.3">
      <c r="D849" s="9"/>
      <c r="G849" s="9"/>
    </row>
    <row r="850" spans="4:7" ht="23.25" customHeight="1" x14ac:dyDescent="0.3">
      <c r="D850" s="9"/>
      <c r="G850" s="9"/>
    </row>
    <row r="851" spans="4:7" ht="23.25" customHeight="1" x14ac:dyDescent="0.3">
      <c r="D851" s="9"/>
      <c r="G851" s="9"/>
    </row>
    <row r="852" spans="4:7" ht="23.25" customHeight="1" x14ac:dyDescent="0.3">
      <c r="D852" s="9"/>
      <c r="G852" s="9"/>
    </row>
    <row r="853" spans="4:7" ht="23.25" customHeight="1" x14ac:dyDescent="0.3">
      <c r="D853" s="9"/>
      <c r="G853" s="9"/>
    </row>
    <row r="854" spans="4:7" ht="23.25" customHeight="1" x14ac:dyDescent="0.3">
      <c r="D854" s="9"/>
      <c r="G854" s="9"/>
    </row>
    <row r="855" spans="4:7" ht="23.25" customHeight="1" x14ac:dyDescent="0.3">
      <c r="D855" s="9"/>
      <c r="G855" s="9"/>
    </row>
    <row r="856" spans="4:7" ht="23.25" customHeight="1" x14ac:dyDescent="0.3">
      <c r="D856" s="9"/>
      <c r="G856" s="9"/>
    </row>
    <row r="857" spans="4:7" ht="23.25" customHeight="1" x14ac:dyDescent="0.3">
      <c r="D857" s="9"/>
      <c r="G857" s="9"/>
    </row>
    <row r="858" spans="4:7" ht="23.25" customHeight="1" x14ac:dyDescent="0.3">
      <c r="D858" s="9"/>
      <c r="G858" s="9"/>
    </row>
    <row r="859" spans="4:7" ht="23.25" customHeight="1" x14ac:dyDescent="0.3">
      <c r="D859" s="9"/>
      <c r="G859" s="9"/>
    </row>
    <row r="860" spans="4:7" ht="23.25" customHeight="1" x14ac:dyDescent="0.3">
      <c r="D860" s="9"/>
      <c r="G860" s="9"/>
    </row>
    <row r="861" spans="4:7" ht="23.25" customHeight="1" x14ac:dyDescent="0.3">
      <c r="D861" s="9"/>
      <c r="G861" s="9"/>
    </row>
    <row r="862" spans="4:7" ht="23.25" customHeight="1" x14ac:dyDescent="0.3">
      <c r="D862" s="9"/>
      <c r="G862" s="9"/>
    </row>
    <row r="863" spans="4:7" ht="23.25" customHeight="1" x14ac:dyDescent="0.3">
      <c r="D863" s="9"/>
      <c r="G863" s="9"/>
    </row>
    <row r="864" spans="4:7" ht="23.25" customHeight="1" x14ac:dyDescent="0.3">
      <c r="D864" s="9"/>
      <c r="G864" s="9"/>
    </row>
    <row r="865" spans="4:7" ht="23.25" customHeight="1" x14ac:dyDescent="0.3">
      <c r="D865" s="9"/>
      <c r="G865" s="9"/>
    </row>
    <row r="866" spans="4:7" ht="23.25" customHeight="1" x14ac:dyDescent="0.3">
      <c r="D866" s="9"/>
      <c r="G866" s="9"/>
    </row>
    <row r="867" spans="4:7" ht="23.25" customHeight="1" x14ac:dyDescent="0.3">
      <c r="D867" s="9"/>
      <c r="G867" s="9"/>
    </row>
    <row r="868" spans="4:7" ht="23.25" customHeight="1" x14ac:dyDescent="0.3">
      <c r="D868" s="9"/>
      <c r="G868" s="9"/>
    </row>
    <row r="869" spans="4:7" ht="23.25" customHeight="1" x14ac:dyDescent="0.3">
      <c r="D869" s="9"/>
      <c r="G869" s="9"/>
    </row>
    <row r="870" spans="4:7" ht="23.25" customHeight="1" x14ac:dyDescent="0.3">
      <c r="D870" s="9"/>
      <c r="G870" s="9"/>
    </row>
    <row r="871" spans="4:7" ht="23.25" customHeight="1" x14ac:dyDescent="0.3">
      <c r="D871" s="9"/>
      <c r="G871" s="9"/>
    </row>
    <row r="872" spans="4:7" ht="23.25" customHeight="1" x14ac:dyDescent="0.3">
      <c r="D872" s="9"/>
      <c r="G872" s="9"/>
    </row>
    <row r="873" spans="4:7" ht="23.25" customHeight="1" x14ac:dyDescent="0.3">
      <c r="D873" s="9"/>
      <c r="G873" s="9"/>
    </row>
    <row r="874" spans="4:7" ht="23.25" customHeight="1" x14ac:dyDescent="0.3">
      <c r="D874" s="9"/>
      <c r="G874" s="9"/>
    </row>
    <row r="875" spans="4:7" ht="23.25" customHeight="1" x14ac:dyDescent="0.3">
      <c r="D875" s="9"/>
      <c r="G875" s="9"/>
    </row>
    <row r="876" spans="4:7" ht="23.25" customHeight="1" x14ac:dyDescent="0.3">
      <c r="D876" s="9"/>
      <c r="G876" s="9"/>
    </row>
    <row r="877" spans="4:7" ht="23.25" customHeight="1" x14ac:dyDescent="0.3">
      <c r="D877" s="9"/>
      <c r="G877" s="9"/>
    </row>
    <row r="878" spans="4:7" ht="23.25" customHeight="1" x14ac:dyDescent="0.3">
      <c r="D878" s="9"/>
      <c r="G878" s="9"/>
    </row>
    <row r="879" spans="4:7" ht="23.25" customHeight="1" x14ac:dyDescent="0.3">
      <c r="D879" s="9"/>
      <c r="G879" s="9"/>
    </row>
    <row r="880" spans="4:7" ht="23.25" customHeight="1" x14ac:dyDescent="0.3">
      <c r="D880" s="9"/>
      <c r="G880" s="9"/>
    </row>
    <row r="881" spans="4:7" ht="23.25" customHeight="1" x14ac:dyDescent="0.3">
      <c r="D881" s="9"/>
      <c r="G881" s="9"/>
    </row>
    <row r="882" spans="4:7" ht="23.25" customHeight="1" x14ac:dyDescent="0.3">
      <c r="D882" s="9"/>
      <c r="G882" s="9"/>
    </row>
    <row r="883" spans="4:7" ht="23.25" customHeight="1" x14ac:dyDescent="0.3">
      <c r="D883" s="9"/>
      <c r="G883" s="9"/>
    </row>
    <row r="884" spans="4:7" ht="23.25" customHeight="1" x14ac:dyDescent="0.3">
      <c r="D884" s="9"/>
      <c r="G884" s="9"/>
    </row>
    <row r="885" spans="4:7" ht="23.25" customHeight="1" x14ac:dyDescent="0.3">
      <c r="D885" s="9"/>
      <c r="G885" s="9"/>
    </row>
    <row r="886" spans="4:7" ht="23.25" customHeight="1" x14ac:dyDescent="0.3">
      <c r="D886" s="9"/>
      <c r="G886" s="9"/>
    </row>
    <row r="887" spans="4:7" ht="23.25" customHeight="1" x14ac:dyDescent="0.3">
      <c r="D887" s="9"/>
      <c r="G887" s="9"/>
    </row>
    <row r="888" spans="4:7" ht="23.25" customHeight="1" x14ac:dyDescent="0.3">
      <c r="D888" s="9"/>
      <c r="G888" s="9"/>
    </row>
    <row r="889" spans="4:7" ht="23.25" customHeight="1" x14ac:dyDescent="0.3">
      <c r="D889" s="9"/>
      <c r="G889" s="9"/>
    </row>
    <row r="890" spans="4:7" ht="23.25" customHeight="1" x14ac:dyDescent="0.3">
      <c r="D890" s="9"/>
      <c r="G890" s="9"/>
    </row>
    <row r="891" spans="4:7" ht="23.25" customHeight="1" x14ac:dyDescent="0.3">
      <c r="D891" s="9"/>
      <c r="G891" s="9"/>
    </row>
    <row r="892" spans="4:7" ht="23.25" customHeight="1" x14ac:dyDescent="0.3">
      <c r="D892" s="9"/>
      <c r="G892" s="9"/>
    </row>
    <row r="893" spans="4:7" ht="23.25" customHeight="1" x14ac:dyDescent="0.3">
      <c r="D893" s="9"/>
      <c r="G893" s="9"/>
    </row>
    <row r="894" spans="4:7" ht="23.25" customHeight="1" x14ac:dyDescent="0.3">
      <c r="D894" s="9"/>
      <c r="G894" s="9"/>
    </row>
    <row r="895" spans="4:7" ht="23.25" customHeight="1" x14ac:dyDescent="0.3">
      <c r="D895" s="9"/>
      <c r="G895" s="9"/>
    </row>
    <row r="896" spans="4:7" ht="23.25" customHeight="1" x14ac:dyDescent="0.3">
      <c r="D896" s="9"/>
      <c r="G896" s="9"/>
    </row>
    <row r="897" spans="4:7" ht="23.25" customHeight="1" x14ac:dyDescent="0.3">
      <c r="D897" s="9"/>
      <c r="G897" s="9"/>
    </row>
    <row r="898" spans="4:7" ht="23.25" customHeight="1" x14ac:dyDescent="0.3">
      <c r="D898" s="9"/>
      <c r="G898" s="9"/>
    </row>
    <row r="899" spans="4:7" ht="23.25" customHeight="1" x14ac:dyDescent="0.3">
      <c r="D899" s="9"/>
      <c r="G899" s="9"/>
    </row>
    <row r="900" spans="4:7" ht="23.25" customHeight="1" x14ac:dyDescent="0.3">
      <c r="D900" s="9"/>
      <c r="G900" s="9"/>
    </row>
    <row r="901" spans="4:7" ht="23.25" customHeight="1" x14ac:dyDescent="0.3">
      <c r="D901" s="9"/>
      <c r="G901" s="9"/>
    </row>
    <row r="902" spans="4:7" ht="23.25" customHeight="1" x14ac:dyDescent="0.3">
      <c r="D902" s="9"/>
      <c r="G902" s="9"/>
    </row>
    <row r="903" spans="4:7" ht="23.25" customHeight="1" x14ac:dyDescent="0.3">
      <c r="D903" s="9"/>
      <c r="G903" s="9"/>
    </row>
    <row r="904" spans="4:7" ht="23.25" customHeight="1" x14ac:dyDescent="0.3">
      <c r="D904" s="9"/>
      <c r="G904" s="9"/>
    </row>
    <row r="905" spans="4:7" ht="23.25" customHeight="1" x14ac:dyDescent="0.3">
      <c r="D905" s="9"/>
      <c r="G905" s="9"/>
    </row>
    <row r="906" spans="4:7" ht="23.25" customHeight="1" x14ac:dyDescent="0.3">
      <c r="D906" s="9"/>
      <c r="G906" s="9"/>
    </row>
    <row r="907" spans="4:7" ht="23.25" customHeight="1" x14ac:dyDescent="0.3">
      <c r="D907" s="9"/>
      <c r="G907" s="9"/>
    </row>
    <row r="908" spans="4:7" ht="23.25" customHeight="1" x14ac:dyDescent="0.3">
      <c r="D908" s="9"/>
      <c r="G908" s="9"/>
    </row>
    <row r="909" spans="4:7" ht="23.25" customHeight="1" x14ac:dyDescent="0.3">
      <c r="D909" s="9"/>
      <c r="G909" s="9"/>
    </row>
    <row r="910" spans="4:7" ht="23.25" customHeight="1" x14ac:dyDescent="0.3">
      <c r="D910" s="9"/>
      <c r="G910" s="9"/>
    </row>
    <row r="911" spans="4:7" ht="23.25" customHeight="1" x14ac:dyDescent="0.3">
      <c r="D911" s="9"/>
      <c r="G911" s="9"/>
    </row>
    <row r="912" spans="4:7" ht="23.25" customHeight="1" x14ac:dyDescent="0.3">
      <c r="D912" s="9"/>
      <c r="G912" s="9"/>
    </row>
    <row r="913" spans="4:7" ht="23.25" customHeight="1" x14ac:dyDescent="0.3">
      <c r="D913" s="9"/>
      <c r="G913" s="9"/>
    </row>
    <row r="914" spans="4:7" ht="23.25" customHeight="1" x14ac:dyDescent="0.3">
      <c r="D914" s="9"/>
      <c r="G914" s="9"/>
    </row>
    <row r="915" spans="4:7" ht="23.25" customHeight="1" x14ac:dyDescent="0.3">
      <c r="D915" s="9"/>
      <c r="G915" s="9"/>
    </row>
    <row r="916" spans="4:7" ht="23.25" customHeight="1" x14ac:dyDescent="0.3">
      <c r="D916" s="9"/>
      <c r="G916" s="9"/>
    </row>
    <row r="917" spans="4:7" ht="23.25" customHeight="1" x14ac:dyDescent="0.3">
      <c r="D917" s="9"/>
      <c r="G917" s="9"/>
    </row>
    <row r="918" spans="4:7" ht="23.25" customHeight="1" x14ac:dyDescent="0.3">
      <c r="D918" s="9"/>
      <c r="G918" s="9"/>
    </row>
    <row r="919" spans="4:7" ht="23.25" customHeight="1" x14ac:dyDescent="0.3">
      <c r="D919" s="9"/>
      <c r="G919" s="9"/>
    </row>
    <row r="920" spans="4:7" ht="23.25" customHeight="1" x14ac:dyDescent="0.3">
      <c r="D920" s="9"/>
      <c r="G920" s="9"/>
    </row>
    <row r="921" spans="4:7" ht="23.25" customHeight="1" x14ac:dyDescent="0.3">
      <c r="D921" s="9"/>
      <c r="G921" s="9"/>
    </row>
    <row r="922" spans="4:7" ht="23.25" customHeight="1" x14ac:dyDescent="0.3">
      <c r="D922" s="9"/>
      <c r="G922" s="9"/>
    </row>
    <row r="923" spans="4:7" ht="23.25" customHeight="1" x14ac:dyDescent="0.3">
      <c r="D923" s="9"/>
      <c r="G923" s="9"/>
    </row>
    <row r="924" spans="4:7" ht="23.25" customHeight="1" x14ac:dyDescent="0.3">
      <c r="D924" s="9"/>
      <c r="G924" s="9"/>
    </row>
    <row r="925" spans="4:7" ht="23.25" customHeight="1" x14ac:dyDescent="0.3">
      <c r="D925" s="9"/>
      <c r="G925" s="9"/>
    </row>
    <row r="926" spans="4:7" ht="23.25" customHeight="1" x14ac:dyDescent="0.3">
      <c r="D926" s="9"/>
      <c r="G926" s="9"/>
    </row>
    <row r="927" spans="4:7" ht="23.25" customHeight="1" x14ac:dyDescent="0.3">
      <c r="D927" s="9"/>
      <c r="G927" s="9"/>
    </row>
    <row r="928" spans="4:7" ht="23.25" customHeight="1" x14ac:dyDescent="0.3">
      <c r="D928" s="9"/>
      <c r="G928" s="9"/>
    </row>
    <row r="929" spans="4:7" ht="23.25" customHeight="1" x14ac:dyDescent="0.3">
      <c r="D929" s="9"/>
      <c r="G929" s="9"/>
    </row>
    <row r="930" spans="4:7" ht="23.25" customHeight="1" x14ac:dyDescent="0.3">
      <c r="D930" s="9"/>
      <c r="G930" s="9"/>
    </row>
    <row r="931" spans="4:7" ht="23.25" customHeight="1" x14ac:dyDescent="0.3">
      <c r="D931" s="9"/>
      <c r="G931" s="9"/>
    </row>
    <row r="932" spans="4:7" ht="23.25" customHeight="1" x14ac:dyDescent="0.3">
      <c r="D932" s="9"/>
      <c r="G932" s="9"/>
    </row>
    <row r="933" spans="4:7" ht="23.25" customHeight="1" x14ac:dyDescent="0.3">
      <c r="D933" s="9"/>
      <c r="G933" s="9"/>
    </row>
    <row r="934" spans="4:7" ht="23.25" customHeight="1" x14ac:dyDescent="0.3">
      <c r="D934" s="9"/>
      <c r="G934" s="9"/>
    </row>
    <row r="935" spans="4:7" ht="23.25" customHeight="1" x14ac:dyDescent="0.3">
      <c r="D935" s="9"/>
      <c r="G935" s="9"/>
    </row>
    <row r="936" spans="4:7" ht="23.25" customHeight="1" x14ac:dyDescent="0.3">
      <c r="D936" s="9"/>
      <c r="G936" s="9"/>
    </row>
    <row r="937" spans="4:7" ht="23.25" customHeight="1" x14ac:dyDescent="0.3">
      <c r="D937" s="9"/>
      <c r="G937" s="9"/>
    </row>
    <row r="938" spans="4:7" ht="23.25" customHeight="1" x14ac:dyDescent="0.3">
      <c r="D938" s="9"/>
      <c r="G938" s="9"/>
    </row>
    <row r="939" spans="4:7" ht="23.25" customHeight="1" x14ac:dyDescent="0.3">
      <c r="D939" s="9"/>
      <c r="G939" s="9"/>
    </row>
    <row r="940" spans="4:7" ht="23.25" customHeight="1" x14ac:dyDescent="0.3">
      <c r="D940" s="9"/>
      <c r="G940" s="9"/>
    </row>
    <row r="941" spans="4:7" ht="23.25" customHeight="1" x14ac:dyDescent="0.3">
      <c r="D941" s="9"/>
      <c r="G941" s="9"/>
    </row>
    <row r="942" spans="4:7" ht="23.25" customHeight="1" x14ac:dyDescent="0.3">
      <c r="D942" s="9"/>
      <c r="G942" s="9"/>
    </row>
    <row r="943" spans="4:7" ht="23.25" customHeight="1" x14ac:dyDescent="0.3">
      <c r="D943" s="9"/>
      <c r="G943" s="9"/>
    </row>
    <row r="944" spans="4:7" ht="23.25" customHeight="1" x14ac:dyDescent="0.3">
      <c r="D944" s="9"/>
      <c r="G944" s="9"/>
    </row>
    <row r="945" spans="4:7" ht="23.25" customHeight="1" x14ac:dyDescent="0.3">
      <c r="D945" s="9"/>
      <c r="G945" s="9"/>
    </row>
    <row r="946" spans="4:7" ht="23.25" customHeight="1" x14ac:dyDescent="0.3">
      <c r="D946" s="9"/>
      <c r="G946" s="9"/>
    </row>
    <row r="947" spans="4:7" ht="23.25" customHeight="1" x14ac:dyDescent="0.3">
      <c r="D947" s="9"/>
      <c r="G947" s="9"/>
    </row>
    <row r="948" spans="4:7" ht="23.25" customHeight="1" x14ac:dyDescent="0.3">
      <c r="D948" s="9"/>
      <c r="G948" s="9"/>
    </row>
    <row r="949" spans="4:7" ht="23.25" customHeight="1" x14ac:dyDescent="0.3">
      <c r="D949" s="9"/>
      <c r="G949" s="9"/>
    </row>
    <row r="950" spans="4:7" ht="23.25" customHeight="1" x14ac:dyDescent="0.3">
      <c r="D950" s="9"/>
      <c r="G950" s="9"/>
    </row>
    <row r="951" spans="4:7" ht="23.25" customHeight="1" x14ac:dyDescent="0.3">
      <c r="D951" s="9"/>
      <c r="G951" s="9"/>
    </row>
    <row r="952" spans="4:7" ht="23.25" customHeight="1" x14ac:dyDescent="0.3">
      <c r="D952" s="9"/>
      <c r="G952" s="9"/>
    </row>
    <row r="953" spans="4:7" ht="23.25" customHeight="1" x14ac:dyDescent="0.3">
      <c r="D953" s="9"/>
      <c r="G953" s="9"/>
    </row>
    <row r="954" spans="4:7" ht="23.25" customHeight="1" x14ac:dyDescent="0.3">
      <c r="D954" s="9"/>
      <c r="G954" s="9"/>
    </row>
    <row r="955" spans="4:7" ht="23.25" customHeight="1" x14ac:dyDescent="0.3">
      <c r="D955" s="9"/>
      <c r="G955" s="9"/>
    </row>
    <row r="956" spans="4:7" ht="23.25" customHeight="1" x14ac:dyDescent="0.3">
      <c r="D956" s="9"/>
      <c r="G956" s="9"/>
    </row>
    <row r="957" spans="4:7" ht="23.25" customHeight="1" x14ac:dyDescent="0.3">
      <c r="D957" s="9"/>
      <c r="G957" s="9"/>
    </row>
    <row r="958" spans="4:7" ht="23.25" customHeight="1" x14ac:dyDescent="0.3">
      <c r="D958" s="9"/>
      <c r="G958" s="9"/>
    </row>
    <row r="959" spans="4:7" ht="23.25" customHeight="1" x14ac:dyDescent="0.3">
      <c r="D959" s="9"/>
      <c r="G959" s="9"/>
    </row>
    <row r="960" spans="4:7" ht="23.25" customHeight="1" x14ac:dyDescent="0.3">
      <c r="D960" s="9"/>
      <c r="G960" s="9"/>
    </row>
    <row r="961" spans="4:7" ht="23.25" customHeight="1" x14ac:dyDescent="0.3">
      <c r="D961" s="9"/>
      <c r="G961" s="9"/>
    </row>
    <row r="962" spans="4:7" ht="23.25" customHeight="1" x14ac:dyDescent="0.3">
      <c r="D962" s="9"/>
      <c r="G962" s="9"/>
    </row>
    <row r="963" spans="4:7" ht="23.25" customHeight="1" x14ac:dyDescent="0.3">
      <c r="D963" s="9"/>
      <c r="G963" s="9"/>
    </row>
    <row r="964" spans="4:7" ht="23.25" customHeight="1" x14ac:dyDescent="0.3">
      <c r="D964" s="9"/>
      <c r="G964" s="9"/>
    </row>
    <row r="965" spans="4:7" ht="23.25" customHeight="1" x14ac:dyDescent="0.3">
      <c r="D965" s="9"/>
      <c r="G965" s="9"/>
    </row>
    <row r="966" spans="4:7" ht="23.25" customHeight="1" x14ac:dyDescent="0.3">
      <c r="D966" s="9"/>
      <c r="G966" s="9"/>
    </row>
    <row r="967" spans="4:7" ht="23.25" customHeight="1" x14ac:dyDescent="0.3">
      <c r="D967" s="9"/>
      <c r="G967" s="9"/>
    </row>
    <row r="968" spans="4:7" ht="23.25" customHeight="1" x14ac:dyDescent="0.3">
      <c r="D968" s="9"/>
      <c r="G968" s="9"/>
    </row>
    <row r="969" spans="4:7" ht="23.25" customHeight="1" x14ac:dyDescent="0.3">
      <c r="D969" s="9"/>
      <c r="G969" s="9"/>
    </row>
    <row r="970" spans="4:7" ht="23.25" customHeight="1" x14ac:dyDescent="0.3">
      <c r="D970" s="9"/>
      <c r="G970" s="9"/>
    </row>
    <row r="971" spans="4:7" ht="23.25" customHeight="1" x14ac:dyDescent="0.3">
      <c r="D971" s="9"/>
      <c r="G971" s="9"/>
    </row>
    <row r="972" spans="4:7" ht="23.25" customHeight="1" x14ac:dyDescent="0.3">
      <c r="D972" s="9"/>
      <c r="G972" s="9"/>
    </row>
    <row r="973" spans="4:7" ht="23.25" customHeight="1" x14ac:dyDescent="0.3">
      <c r="D973" s="9"/>
      <c r="G973" s="9"/>
    </row>
    <row r="974" spans="4:7" ht="23.25" customHeight="1" x14ac:dyDescent="0.3">
      <c r="D974" s="9"/>
      <c r="G974" s="9"/>
    </row>
    <row r="975" spans="4:7" ht="23.25" customHeight="1" x14ac:dyDescent="0.3">
      <c r="D975" s="9"/>
      <c r="G975" s="9"/>
    </row>
    <row r="976" spans="4:7" ht="23.25" customHeight="1" x14ac:dyDescent="0.3">
      <c r="D976" s="9"/>
      <c r="G976" s="9"/>
    </row>
    <row r="977" spans="4:7" ht="23.25" customHeight="1" x14ac:dyDescent="0.3">
      <c r="D977" s="9"/>
      <c r="G977" s="9"/>
    </row>
    <row r="978" spans="4:7" ht="23.25" customHeight="1" x14ac:dyDescent="0.3">
      <c r="D978" s="9"/>
      <c r="G978" s="9"/>
    </row>
    <row r="979" spans="4:7" ht="23.25" customHeight="1" x14ac:dyDescent="0.3">
      <c r="D979" s="9"/>
      <c r="G979" s="9"/>
    </row>
    <row r="980" spans="4:7" ht="23.25" customHeight="1" x14ac:dyDescent="0.3">
      <c r="D980" s="9"/>
      <c r="G980" s="9"/>
    </row>
    <row r="981" spans="4:7" ht="23.25" customHeight="1" x14ac:dyDescent="0.3">
      <c r="D981" s="9"/>
      <c r="G981" s="9"/>
    </row>
    <row r="982" spans="4:7" ht="23.25" customHeight="1" x14ac:dyDescent="0.3">
      <c r="D982" s="9"/>
      <c r="G982" s="9"/>
    </row>
    <row r="983" spans="4:7" ht="23.25" customHeight="1" x14ac:dyDescent="0.3">
      <c r="D983" s="9"/>
      <c r="G983" s="9"/>
    </row>
    <row r="984" spans="4:7" ht="23.25" customHeight="1" x14ac:dyDescent="0.3">
      <c r="D984" s="9"/>
      <c r="G984" s="9"/>
    </row>
    <row r="985" spans="4:7" ht="23.25" customHeight="1" x14ac:dyDescent="0.3">
      <c r="D985" s="9"/>
      <c r="G985" s="9"/>
    </row>
    <row r="986" spans="4:7" ht="23.25" customHeight="1" x14ac:dyDescent="0.3">
      <c r="D986" s="9"/>
      <c r="G986" s="9"/>
    </row>
    <row r="987" spans="4:7" ht="23.25" customHeight="1" x14ac:dyDescent="0.3">
      <c r="D987" s="9"/>
      <c r="G987" s="9"/>
    </row>
    <row r="988" spans="4:7" ht="23.25" customHeight="1" x14ac:dyDescent="0.3">
      <c r="D988" s="9"/>
      <c r="G988" s="9"/>
    </row>
    <row r="989" spans="4:7" ht="23.25" customHeight="1" x14ac:dyDescent="0.3">
      <c r="D989" s="9"/>
      <c r="G989" s="9"/>
    </row>
    <row r="990" spans="4:7" ht="23.25" customHeight="1" x14ac:dyDescent="0.3">
      <c r="D990" s="9"/>
      <c r="G990" s="9"/>
    </row>
    <row r="991" spans="4:7" ht="23.25" customHeight="1" x14ac:dyDescent="0.3">
      <c r="D991" s="9"/>
      <c r="G991" s="9"/>
    </row>
    <row r="992" spans="4:7" ht="23.25" customHeight="1" x14ac:dyDescent="0.3">
      <c r="D992" s="9"/>
      <c r="G992" s="9"/>
    </row>
    <row r="993" spans="4:7" ht="23.25" customHeight="1" x14ac:dyDescent="0.3">
      <c r="D993" s="9"/>
      <c r="G993" s="9"/>
    </row>
    <row r="994" spans="4:7" ht="23.25" customHeight="1" x14ac:dyDescent="0.3">
      <c r="D994" s="9"/>
      <c r="G994" s="9"/>
    </row>
    <row r="995" spans="4:7" ht="23.25" customHeight="1" x14ac:dyDescent="0.3">
      <c r="D995" s="9"/>
      <c r="G995" s="9"/>
    </row>
    <row r="996" spans="4:7" ht="23.25" customHeight="1" x14ac:dyDescent="0.3">
      <c r="D996" s="9"/>
      <c r="G996" s="9"/>
    </row>
    <row r="997" spans="4:7" ht="23.25" customHeight="1" x14ac:dyDescent="0.3">
      <c r="D997" s="9"/>
      <c r="G997" s="9"/>
    </row>
    <row r="998" spans="4:7" ht="23.25" customHeight="1" x14ac:dyDescent="0.3">
      <c r="D998" s="9"/>
      <c r="G998" s="9"/>
    </row>
    <row r="999" spans="4:7" ht="23.25" customHeight="1" x14ac:dyDescent="0.3">
      <c r="D999" s="9"/>
      <c r="G999" s="9"/>
    </row>
    <row r="1000" spans="4:7" ht="23.25" customHeight="1" x14ac:dyDescent="0.3">
      <c r="D1000" s="9"/>
      <c r="G1000" s="9"/>
    </row>
  </sheetData>
  <printOptions horizontalCentered="1" verticalCentered="1"/>
  <pageMargins left="0.23622047244094491" right="0.23622047244094491" top="0.19685039370078741" bottom="0.19685039370078741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J1000"/>
  <sheetViews>
    <sheetView showGridLines="0" workbookViewId="0"/>
  </sheetViews>
  <sheetFormatPr defaultColWidth="14.44140625" defaultRowHeight="15" customHeight="1" x14ac:dyDescent="0.3"/>
  <cols>
    <col min="1" max="1" width="36.33203125" customWidth="1"/>
    <col min="2" max="2" width="18.6640625" customWidth="1"/>
    <col min="3" max="3" width="43.88671875" customWidth="1"/>
    <col min="4" max="4" width="13.88671875" customWidth="1"/>
    <col min="5" max="5" width="11.5546875" customWidth="1"/>
    <col min="6" max="6" width="17" customWidth="1"/>
    <col min="7" max="7" width="15.33203125" customWidth="1"/>
    <col min="8" max="8" width="14.5546875" customWidth="1"/>
    <col min="9" max="10" width="13.88671875" customWidth="1"/>
    <col min="11" max="26" width="8.6640625" customWidth="1"/>
  </cols>
  <sheetData>
    <row r="1" spans="1:10" ht="39" customHeight="1" x14ac:dyDescent="0.4">
      <c r="A1" s="19"/>
      <c r="B1" s="19"/>
      <c r="C1" s="8">
        <v>45884</v>
      </c>
      <c r="D1" s="13"/>
      <c r="E1" s="19"/>
      <c r="F1" s="19"/>
      <c r="G1" s="13"/>
      <c r="H1" s="19"/>
      <c r="I1" s="19"/>
      <c r="J1" s="19"/>
    </row>
    <row r="2" spans="1:10" ht="18" customHeight="1" x14ac:dyDescent="0.4">
      <c r="A2" s="10" t="str">
        <f>'Porta Guilhotina'!A2 &amp; " " &amp; 'Porta Guilhotina'!B2</f>
        <v>Orçamento 213</v>
      </c>
      <c r="B2" s="11"/>
      <c r="C2" s="12" t="str">
        <f>'Porta Guilhotina'!B3</f>
        <v>Duglas</v>
      </c>
      <c r="D2" s="31"/>
      <c r="E2" s="19"/>
      <c r="F2" s="19" t="s">
        <v>39</v>
      </c>
      <c r="G2" s="13"/>
      <c r="H2" s="19"/>
      <c r="I2" s="19"/>
      <c r="J2" s="19"/>
    </row>
    <row r="3" spans="1:10" ht="18" customHeight="1" x14ac:dyDescent="0.4">
      <c r="A3" s="10" t="s">
        <v>5</v>
      </c>
      <c r="B3" s="11"/>
      <c r="C3" s="17" t="s">
        <v>40</v>
      </c>
      <c r="D3" s="13"/>
      <c r="E3" s="19"/>
      <c r="F3" s="19"/>
      <c r="G3" s="13"/>
      <c r="H3" s="19"/>
      <c r="I3" s="19"/>
      <c r="J3" s="19"/>
    </row>
    <row r="4" spans="1:10" ht="18" customHeight="1" x14ac:dyDescent="0.4">
      <c r="A4" s="10" t="s">
        <v>2</v>
      </c>
      <c r="B4" s="11"/>
      <c r="C4" s="17" t="s">
        <v>41</v>
      </c>
      <c r="D4" s="13"/>
      <c r="E4" s="19"/>
      <c r="F4" s="19"/>
      <c r="G4" s="13" t="s">
        <v>38</v>
      </c>
      <c r="H4" s="19"/>
      <c r="I4" s="13"/>
      <c r="J4" s="19"/>
    </row>
    <row r="5" spans="1:10" ht="18" customHeight="1" x14ac:dyDescent="0.4">
      <c r="A5" s="10" t="s">
        <v>6</v>
      </c>
      <c r="B5" s="11"/>
      <c r="C5" s="17" t="str">
        <f>'Porta Guilhotina'!H8</f>
        <v>1x 144,5 cm + 2x 70 cm</v>
      </c>
      <c r="D5" s="13"/>
      <c r="E5" s="19"/>
      <c r="F5" s="19"/>
      <c r="G5" s="13"/>
      <c r="H5" s="19"/>
      <c r="I5" s="19"/>
      <c r="J5" s="19"/>
    </row>
    <row r="6" spans="1:10" ht="42" customHeight="1" x14ac:dyDescent="0.4">
      <c r="A6" s="10" t="s">
        <v>4</v>
      </c>
      <c r="B6" s="11"/>
      <c r="C6" s="17" t="s">
        <v>42</v>
      </c>
      <c r="D6" s="13"/>
      <c r="E6" s="19"/>
      <c r="F6" s="19"/>
      <c r="G6" s="13"/>
      <c r="H6" s="19"/>
      <c r="I6" s="19"/>
      <c r="J6" s="19"/>
    </row>
    <row r="7" spans="1:10" ht="18" customHeight="1" x14ac:dyDescent="0.4">
      <c r="A7" s="10" t="s">
        <v>7</v>
      </c>
      <c r="B7" s="11"/>
      <c r="C7" s="17" t="str">
        <f>'Porta Guilhotina'!I8</f>
        <v>4x 65cm + 4x 72,5cm + 4x 62 cm + 4x 67 cm</v>
      </c>
      <c r="D7" s="13"/>
      <c r="E7" s="19"/>
      <c r="F7" s="19"/>
      <c r="G7" s="9">
        <f>'Porta Guilhotina'!B15</f>
        <v>136</v>
      </c>
      <c r="H7" s="19"/>
      <c r="I7" s="19"/>
      <c r="J7" s="19"/>
    </row>
    <row r="8" spans="1:10" ht="18" customHeight="1" x14ac:dyDescent="0.4">
      <c r="A8" s="10" t="s">
        <v>3</v>
      </c>
      <c r="B8" s="11"/>
      <c r="C8" s="17" t="s">
        <v>43</v>
      </c>
      <c r="D8" s="13"/>
      <c r="E8" s="19"/>
      <c r="F8" s="19"/>
      <c r="G8" s="13"/>
      <c r="H8" s="19"/>
      <c r="I8" s="19"/>
      <c r="J8" s="19"/>
    </row>
    <row r="9" spans="1:10" ht="18" customHeight="1" x14ac:dyDescent="0.4">
      <c r="A9" s="10" t="str">
        <f>'Porta Guilhotina'!A10</f>
        <v>Pedra instalada</v>
      </c>
      <c r="B9" s="11"/>
      <c r="C9" s="17" t="str">
        <f>'Porta Guilhotina'!B10</f>
        <v>Não</v>
      </c>
      <c r="D9" s="13"/>
      <c r="E9" s="19"/>
      <c r="F9" s="19"/>
      <c r="G9" s="13"/>
      <c r="H9" s="19"/>
      <c r="I9" s="19"/>
      <c r="J9" s="19"/>
    </row>
    <row r="10" spans="1:10" ht="15" customHeight="1" x14ac:dyDescent="0.3">
      <c r="A10" s="21"/>
      <c r="B10" s="21"/>
      <c r="C10" s="21"/>
      <c r="D10" s="9"/>
      <c r="G10" s="9"/>
    </row>
    <row r="11" spans="1:10" ht="23.25" customHeight="1" x14ac:dyDescent="0.3">
      <c r="C11" s="22"/>
      <c r="D11" s="9"/>
      <c r="G11" s="9"/>
    </row>
    <row r="12" spans="1:10" ht="23.25" customHeight="1" x14ac:dyDescent="0.3">
      <c r="D12" s="9"/>
      <c r="G12" s="23"/>
    </row>
    <row r="13" spans="1:10" ht="23.25" customHeight="1" x14ac:dyDescent="0.3">
      <c r="D13" s="9"/>
      <c r="G13" s="9"/>
    </row>
    <row r="14" spans="1:10" ht="23.25" customHeight="1" x14ac:dyDescent="0.3">
      <c r="D14" s="28">
        <f>'Porta Guilhotina'!B14</f>
        <v>75</v>
      </c>
      <c r="G14" s="9"/>
    </row>
    <row r="15" spans="1:10" ht="23.25" customHeight="1" x14ac:dyDescent="0.3">
      <c r="D15" s="9"/>
      <c r="G15" s="9"/>
    </row>
    <row r="16" spans="1:10" ht="23.25" customHeight="1" x14ac:dyDescent="0.6">
      <c r="B16" s="32"/>
      <c r="C16" s="33"/>
      <c r="D16" s="9"/>
      <c r="G16" s="9"/>
    </row>
    <row r="17" spans="1:9" ht="23.25" customHeight="1" x14ac:dyDescent="0.3">
      <c r="D17" s="9"/>
      <c r="G17" s="9"/>
    </row>
    <row r="18" spans="1:9" ht="23.25" customHeight="1" x14ac:dyDescent="0.3">
      <c r="D18" s="9"/>
      <c r="G18" s="9"/>
    </row>
    <row r="19" spans="1:9" ht="23.25" customHeight="1" x14ac:dyDescent="0.3">
      <c r="C19" s="27" t="str">
        <f>'Porta Guilhotina'!B5</f>
        <v>210,5</v>
      </c>
      <c r="D19" s="9"/>
      <c r="G19" s="9"/>
    </row>
    <row r="20" spans="1:9" ht="23.25" customHeight="1" x14ac:dyDescent="0.3">
      <c r="D20" s="22"/>
      <c r="G20" s="9"/>
    </row>
    <row r="21" spans="1:9" ht="23.25" customHeight="1" x14ac:dyDescent="0.3">
      <c r="D21" s="9"/>
      <c r="G21" s="9"/>
    </row>
    <row r="22" spans="1:9" ht="23.25" customHeight="1" x14ac:dyDescent="0.3">
      <c r="A22" s="25"/>
      <c r="B22" s="25"/>
      <c r="D22" s="9"/>
      <c r="G22" s="9">
        <f>'Porta Guilhotina'!B18</f>
        <v>66.5</v>
      </c>
    </row>
    <row r="23" spans="1:9" ht="23.25" customHeight="1" x14ac:dyDescent="0.3">
      <c r="D23" s="9"/>
      <c r="G23" s="9"/>
    </row>
    <row r="24" spans="1:9" ht="23.25" customHeight="1" x14ac:dyDescent="0.3">
      <c r="D24" s="9"/>
      <c r="G24" s="9"/>
    </row>
    <row r="25" spans="1:9" ht="23.25" customHeight="1" x14ac:dyDescent="0.55000000000000004">
      <c r="C25" s="34"/>
      <c r="D25" s="9"/>
      <c r="G25" s="9"/>
    </row>
    <row r="26" spans="1:9" ht="23.25" customHeight="1" x14ac:dyDescent="0.3">
      <c r="D26" s="9"/>
      <c r="G26" s="9"/>
    </row>
    <row r="27" spans="1:9" ht="23.25" customHeight="1" x14ac:dyDescent="0.45">
      <c r="D27" s="9"/>
      <c r="E27" s="35">
        <f>'Porta Guilhotina'!B17</f>
        <v>61.5</v>
      </c>
      <c r="G27" s="9"/>
    </row>
    <row r="28" spans="1:9" ht="23.25" customHeight="1" x14ac:dyDescent="0.3">
      <c r="C28" s="26" t="str">
        <f>'Porta Guilhotina'!B6</f>
        <v>144,5</v>
      </c>
      <c r="D28" s="9"/>
      <c r="G28" s="9"/>
    </row>
    <row r="29" spans="1:9" ht="23.25" customHeight="1" x14ac:dyDescent="0.3">
      <c r="D29" s="9"/>
      <c r="G29" s="9"/>
    </row>
    <row r="30" spans="1:9" ht="23.25" customHeight="1" x14ac:dyDescent="0.3">
      <c r="A30" s="26">
        <f>'Porta Guilhotina'!B7</f>
        <v>78</v>
      </c>
      <c r="D30" s="9"/>
      <c r="G30" s="9"/>
    </row>
    <row r="31" spans="1:9" ht="23.25" customHeight="1" x14ac:dyDescent="0.3">
      <c r="D31" s="9"/>
      <c r="G31" s="9"/>
    </row>
    <row r="32" spans="1:9" ht="23.25" customHeight="1" x14ac:dyDescent="0.55000000000000004">
      <c r="A32" s="34"/>
      <c r="D32" s="9"/>
      <c r="G32" s="9"/>
      <c r="I32" s="29"/>
    </row>
    <row r="33" spans="3:7" ht="23.25" customHeight="1" x14ac:dyDescent="0.3">
      <c r="D33" s="9"/>
      <c r="G33" s="9"/>
    </row>
    <row r="34" spans="3:7" ht="23.25" customHeight="1" x14ac:dyDescent="0.3">
      <c r="C34" s="30"/>
      <c r="D34" s="9"/>
      <c r="G34" s="9"/>
    </row>
    <row r="35" spans="3:7" ht="23.25" customHeight="1" x14ac:dyDescent="0.3">
      <c r="D35" s="9"/>
      <c r="G35" s="9"/>
    </row>
    <row r="36" spans="3:7" ht="23.25" customHeight="1" x14ac:dyDescent="0.3">
      <c r="D36" s="9"/>
      <c r="G36" s="9"/>
    </row>
    <row r="37" spans="3:7" ht="23.25" customHeight="1" x14ac:dyDescent="0.3">
      <c r="D37" s="9"/>
      <c r="G37" s="9"/>
    </row>
    <row r="38" spans="3:7" ht="23.25" customHeight="1" x14ac:dyDescent="0.3">
      <c r="D38" s="9"/>
      <c r="G38" s="9"/>
    </row>
    <row r="39" spans="3:7" ht="23.25" customHeight="1" x14ac:dyDescent="0.3">
      <c r="D39" s="9"/>
      <c r="G39" s="9"/>
    </row>
    <row r="40" spans="3:7" ht="23.25" customHeight="1" x14ac:dyDescent="0.3">
      <c r="D40" s="9"/>
      <c r="G40" s="9"/>
    </row>
    <row r="41" spans="3:7" ht="23.25" customHeight="1" x14ac:dyDescent="0.3">
      <c r="D41" s="9"/>
      <c r="G41" s="9"/>
    </row>
    <row r="42" spans="3:7" ht="23.25" customHeight="1" x14ac:dyDescent="0.3">
      <c r="D42" s="9"/>
      <c r="G42" s="9"/>
    </row>
    <row r="43" spans="3:7" ht="23.25" customHeight="1" x14ac:dyDescent="0.3">
      <c r="D43" s="9"/>
      <c r="G43" s="9"/>
    </row>
    <row r="44" spans="3:7" ht="23.25" customHeight="1" x14ac:dyDescent="0.3">
      <c r="D44" s="9"/>
      <c r="G44" s="9"/>
    </row>
    <row r="45" spans="3:7" ht="23.25" customHeight="1" x14ac:dyDescent="0.3">
      <c r="D45" s="9"/>
      <c r="G45" s="9"/>
    </row>
    <row r="46" spans="3:7" ht="23.25" customHeight="1" x14ac:dyDescent="0.3">
      <c r="D46" s="9"/>
      <c r="G46" s="9"/>
    </row>
    <row r="47" spans="3:7" ht="23.25" customHeight="1" x14ac:dyDescent="0.3">
      <c r="D47" s="9"/>
      <c r="G47" s="9"/>
    </row>
    <row r="48" spans="3:7" ht="23.25" customHeight="1" x14ac:dyDescent="0.3">
      <c r="D48" s="9"/>
      <c r="G48" s="9"/>
    </row>
    <row r="49" spans="4:7" ht="23.25" customHeight="1" x14ac:dyDescent="0.3">
      <c r="D49" s="9"/>
      <c r="G49" s="9"/>
    </row>
    <row r="50" spans="4:7" ht="23.25" customHeight="1" x14ac:dyDescent="0.3">
      <c r="D50" s="9"/>
      <c r="G50" s="9"/>
    </row>
    <row r="51" spans="4:7" ht="23.25" customHeight="1" x14ac:dyDescent="0.3">
      <c r="D51" s="9"/>
      <c r="G51" s="9"/>
    </row>
    <row r="52" spans="4:7" ht="23.25" customHeight="1" x14ac:dyDescent="0.3">
      <c r="D52" s="9"/>
      <c r="G52" s="9"/>
    </row>
    <row r="53" spans="4:7" ht="23.25" customHeight="1" x14ac:dyDescent="0.3">
      <c r="D53" s="9"/>
      <c r="G53" s="9"/>
    </row>
    <row r="54" spans="4:7" ht="23.25" customHeight="1" x14ac:dyDescent="0.3">
      <c r="D54" s="9"/>
      <c r="G54" s="9"/>
    </row>
    <row r="55" spans="4:7" ht="23.25" customHeight="1" x14ac:dyDescent="0.3">
      <c r="D55" s="9"/>
      <c r="G55" s="9"/>
    </row>
    <row r="56" spans="4:7" ht="23.25" customHeight="1" x14ac:dyDescent="0.3">
      <c r="D56" s="9"/>
      <c r="G56" s="9"/>
    </row>
    <row r="57" spans="4:7" ht="23.25" customHeight="1" x14ac:dyDescent="0.3">
      <c r="D57" s="9"/>
      <c r="G57" s="9"/>
    </row>
    <row r="58" spans="4:7" ht="23.25" customHeight="1" x14ac:dyDescent="0.3">
      <c r="D58" s="9"/>
      <c r="G58" s="9"/>
    </row>
    <row r="59" spans="4:7" ht="23.25" customHeight="1" x14ac:dyDescent="0.3">
      <c r="D59" s="9"/>
      <c r="G59" s="9"/>
    </row>
    <row r="60" spans="4:7" ht="23.25" customHeight="1" x14ac:dyDescent="0.3">
      <c r="D60" s="9"/>
      <c r="G60" s="9"/>
    </row>
    <row r="61" spans="4:7" ht="23.25" customHeight="1" x14ac:dyDescent="0.3">
      <c r="D61" s="9"/>
      <c r="G61" s="9"/>
    </row>
    <row r="62" spans="4:7" ht="23.25" customHeight="1" x14ac:dyDescent="0.3">
      <c r="D62" s="9"/>
      <c r="G62" s="9"/>
    </row>
    <row r="63" spans="4:7" ht="23.25" customHeight="1" x14ac:dyDescent="0.3">
      <c r="D63" s="9"/>
      <c r="G63" s="9"/>
    </row>
    <row r="64" spans="4:7" ht="23.25" customHeight="1" x14ac:dyDescent="0.3">
      <c r="D64" s="9"/>
      <c r="G64" s="9"/>
    </row>
    <row r="65" spans="4:7" ht="23.25" customHeight="1" x14ac:dyDescent="0.3">
      <c r="D65" s="9"/>
      <c r="G65" s="9"/>
    </row>
    <row r="66" spans="4:7" ht="23.25" customHeight="1" x14ac:dyDescent="0.3">
      <c r="D66" s="9"/>
      <c r="G66" s="9"/>
    </row>
    <row r="67" spans="4:7" ht="23.25" customHeight="1" x14ac:dyDescent="0.3">
      <c r="D67" s="9"/>
      <c r="G67" s="9"/>
    </row>
    <row r="68" spans="4:7" ht="23.25" customHeight="1" x14ac:dyDescent="0.3">
      <c r="D68" s="9"/>
      <c r="G68" s="9"/>
    </row>
    <row r="69" spans="4:7" ht="23.25" customHeight="1" x14ac:dyDescent="0.3">
      <c r="D69" s="9"/>
      <c r="G69" s="9"/>
    </row>
    <row r="70" spans="4:7" ht="23.25" customHeight="1" x14ac:dyDescent="0.3">
      <c r="D70" s="9"/>
      <c r="G70" s="9"/>
    </row>
    <row r="71" spans="4:7" ht="23.25" customHeight="1" x14ac:dyDescent="0.3">
      <c r="D71" s="9"/>
      <c r="G71" s="9"/>
    </row>
    <row r="72" spans="4:7" ht="23.25" customHeight="1" x14ac:dyDescent="0.3">
      <c r="D72" s="9"/>
      <c r="G72" s="9"/>
    </row>
    <row r="73" spans="4:7" ht="23.25" customHeight="1" x14ac:dyDescent="0.3">
      <c r="D73" s="9"/>
      <c r="G73" s="9"/>
    </row>
    <row r="74" spans="4:7" ht="23.25" customHeight="1" x14ac:dyDescent="0.3">
      <c r="D74" s="9"/>
      <c r="G74" s="9"/>
    </row>
    <row r="75" spans="4:7" ht="23.25" customHeight="1" x14ac:dyDescent="0.3">
      <c r="D75" s="9"/>
      <c r="G75" s="9"/>
    </row>
    <row r="76" spans="4:7" ht="23.25" customHeight="1" x14ac:dyDescent="0.3">
      <c r="D76" s="9"/>
      <c r="G76" s="9"/>
    </row>
    <row r="77" spans="4:7" ht="23.25" customHeight="1" x14ac:dyDescent="0.3">
      <c r="D77" s="9"/>
      <c r="G77" s="9"/>
    </row>
    <row r="78" spans="4:7" ht="23.25" customHeight="1" x14ac:dyDescent="0.3">
      <c r="D78" s="9"/>
      <c r="G78" s="9"/>
    </row>
    <row r="79" spans="4:7" ht="23.25" customHeight="1" x14ac:dyDescent="0.3">
      <c r="D79" s="9"/>
      <c r="G79" s="9"/>
    </row>
    <row r="80" spans="4:7" ht="23.25" customHeight="1" x14ac:dyDescent="0.3">
      <c r="D80" s="9"/>
      <c r="G80" s="9"/>
    </row>
    <row r="81" spans="4:7" ht="23.25" customHeight="1" x14ac:dyDescent="0.3">
      <c r="D81" s="9"/>
      <c r="G81" s="9"/>
    </row>
    <row r="82" spans="4:7" ht="23.25" customHeight="1" x14ac:dyDescent="0.3">
      <c r="D82" s="9"/>
      <c r="G82" s="9"/>
    </row>
    <row r="83" spans="4:7" ht="23.25" customHeight="1" x14ac:dyDescent="0.3">
      <c r="D83" s="9"/>
      <c r="G83" s="9"/>
    </row>
    <row r="84" spans="4:7" ht="23.25" customHeight="1" x14ac:dyDescent="0.3">
      <c r="D84" s="9"/>
      <c r="G84" s="9"/>
    </row>
    <row r="85" spans="4:7" ht="23.25" customHeight="1" x14ac:dyDescent="0.3">
      <c r="D85" s="9"/>
      <c r="G85" s="9"/>
    </row>
    <row r="86" spans="4:7" ht="23.25" customHeight="1" x14ac:dyDescent="0.3">
      <c r="D86" s="9"/>
      <c r="G86" s="9"/>
    </row>
    <row r="87" spans="4:7" ht="23.25" customHeight="1" x14ac:dyDescent="0.3">
      <c r="D87" s="9"/>
      <c r="G87" s="9"/>
    </row>
    <row r="88" spans="4:7" ht="23.25" customHeight="1" x14ac:dyDescent="0.3">
      <c r="D88" s="9"/>
      <c r="G88" s="9"/>
    </row>
    <row r="89" spans="4:7" ht="23.25" customHeight="1" x14ac:dyDescent="0.3">
      <c r="D89" s="9"/>
      <c r="G89" s="9"/>
    </row>
    <row r="90" spans="4:7" ht="23.25" customHeight="1" x14ac:dyDescent="0.3">
      <c r="D90" s="9"/>
      <c r="G90" s="9"/>
    </row>
    <row r="91" spans="4:7" ht="23.25" customHeight="1" x14ac:dyDescent="0.3">
      <c r="D91" s="9"/>
      <c r="G91" s="9"/>
    </row>
    <row r="92" spans="4:7" ht="23.25" customHeight="1" x14ac:dyDescent="0.3">
      <c r="D92" s="9"/>
      <c r="G92" s="9"/>
    </row>
    <row r="93" spans="4:7" ht="23.25" customHeight="1" x14ac:dyDescent="0.3">
      <c r="D93" s="9"/>
      <c r="G93" s="9"/>
    </row>
    <row r="94" spans="4:7" ht="23.25" customHeight="1" x14ac:dyDescent="0.3">
      <c r="D94" s="9"/>
      <c r="G94" s="9"/>
    </row>
    <row r="95" spans="4:7" ht="23.25" customHeight="1" x14ac:dyDescent="0.3">
      <c r="D95" s="9"/>
      <c r="G95" s="9"/>
    </row>
    <row r="96" spans="4:7" ht="23.25" customHeight="1" x14ac:dyDescent="0.3">
      <c r="D96" s="9"/>
      <c r="G96" s="9"/>
    </row>
    <row r="97" spans="4:7" ht="23.25" customHeight="1" x14ac:dyDescent="0.3">
      <c r="D97" s="9"/>
      <c r="G97" s="9"/>
    </row>
    <row r="98" spans="4:7" ht="23.25" customHeight="1" x14ac:dyDescent="0.3">
      <c r="D98" s="9"/>
      <c r="G98" s="9"/>
    </row>
    <row r="99" spans="4:7" ht="23.25" customHeight="1" x14ac:dyDescent="0.3">
      <c r="D99" s="9"/>
      <c r="G99" s="9"/>
    </row>
    <row r="100" spans="4:7" ht="23.25" customHeight="1" x14ac:dyDescent="0.3">
      <c r="D100" s="9"/>
      <c r="G100" s="9"/>
    </row>
    <row r="101" spans="4:7" ht="23.25" customHeight="1" x14ac:dyDescent="0.3">
      <c r="D101" s="9"/>
      <c r="G101" s="9"/>
    </row>
    <row r="102" spans="4:7" ht="23.25" customHeight="1" x14ac:dyDescent="0.3">
      <c r="D102" s="9"/>
      <c r="G102" s="9"/>
    </row>
    <row r="103" spans="4:7" ht="23.25" customHeight="1" x14ac:dyDescent="0.3">
      <c r="D103" s="9"/>
      <c r="G103" s="9"/>
    </row>
    <row r="104" spans="4:7" ht="23.25" customHeight="1" x14ac:dyDescent="0.3">
      <c r="D104" s="9"/>
      <c r="G104" s="9"/>
    </row>
    <row r="105" spans="4:7" ht="23.25" customHeight="1" x14ac:dyDescent="0.3">
      <c r="D105" s="9"/>
      <c r="G105" s="9"/>
    </row>
    <row r="106" spans="4:7" ht="23.25" customHeight="1" x14ac:dyDescent="0.3">
      <c r="D106" s="9"/>
      <c r="G106" s="9"/>
    </row>
    <row r="107" spans="4:7" ht="23.25" customHeight="1" x14ac:dyDescent="0.3">
      <c r="D107" s="9"/>
      <c r="G107" s="9"/>
    </row>
    <row r="108" spans="4:7" ht="23.25" customHeight="1" x14ac:dyDescent="0.3">
      <c r="D108" s="9"/>
      <c r="G108" s="9"/>
    </row>
    <row r="109" spans="4:7" ht="23.25" customHeight="1" x14ac:dyDescent="0.3">
      <c r="D109" s="9"/>
      <c r="G109" s="9"/>
    </row>
    <row r="110" spans="4:7" ht="23.25" customHeight="1" x14ac:dyDescent="0.3">
      <c r="D110" s="9"/>
      <c r="G110" s="9"/>
    </row>
    <row r="111" spans="4:7" ht="23.25" customHeight="1" x14ac:dyDescent="0.3">
      <c r="D111" s="9"/>
      <c r="G111" s="9"/>
    </row>
    <row r="112" spans="4:7" ht="23.25" customHeight="1" x14ac:dyDescent="0.3">
      <c r="D112" s="9"/>
      <c r="G112" s="9"/>
    </row>
    <row r="113" spans="4:7" ht="23.25" customHeight="1" x14ac:dyDescent="0.3">
      <c r="D113" s="9"/>
      <c r="G113" s="9"/>
    </row>
    <row r="114" spans="4:7" ht="23.25" customHeight="1" x14ac:dyDescent="0.3">
      <c r="D114" s="9"/>
      <c r="G114" s="9"/>
    </row>
    <row r="115" spans="4:7" ht="23.25" customHeight="1" x14ac:dyDescent="0.3">
      <c r="D115" s="9"/>
      <c r="G115" s="9"/>
    </row>
    <row r="116" spans="4:7" ht="23.25" customHeight="1" x14ac:dyDescent="0.3">
      <c r="D116" s="9"/>
      <c r="G116" s="9"/>
    </row>
    <row r="117" spans="4:7" ht="23.25" customHeight="1" x14ac:dyDescent="0.3">
      <c r="D117" s="9"/>
      <c r="G117" s="9"/>
    </row>
    <row r="118" spans="4:7" ht="23.25" customHeight="1" x14ac:dyDescent="0.3">
      <c r="D118" s="9"/>
      <c r="G118" s="9"/>
    </row>
    <row r="119" spans="4:7" ht="23.25" customHeight="1" x14ac:dyDescent="0.3">
      <c r="D119" s="9"/>
      <c r="G119" s="9"/>
    </row>
    <row r="120" spans="4:7" ht="23.25" customHeight="1" x14ac:dyDescent="0.3">
      <c r="D120" s="9"/>
      <c r="G120" s="9"/>
    </row>
    <row r="121" spans="4:7" ht="23.25" customHeight="1" x14ac:dyDescent="0.3">
      <c r="D121" s="9"/>
      <c r="G121" s="9"/>
    </row>
    <row r="122" spans="4:7" ht="23.25" customHeight="1" x14ac:dyDescent="0.3">
      <c r="D122" s="9"/>
      <c r="G122" s="9"/>
    </row>
    <row r="123" spans="4:7" ht="23.25" customHeight="1" x14ac:dyDescent="0.3">
      <c r="D123" s="9"/>
      <c r="G123" s="9"/>
    </row>
    <row r="124" spans="4:7" ht="23.25" customHeight="1" x14ac:dyDescent="0.3">
      <c r="D124" s="9"/>
      <c r="G124" s="9"/>
    </row>
    <row r="125" spans="4:7" ht="23.25" customHeight="1" x14ac:dyDescent="0.3">
      <c r="D125" s="9"/>
      <c r="G125" s="9"/>
    </row>
    <row r="126" spans="4:7" ht="23.25" customHeight="1" x14ac:dyDescent="0.3">
      <c r="D126" s="9"/>
      <c r="G126" s="9"/>
    </row>
    <row r="127" spans="4:7" ht="23.25" customHeight="1" x14ac:dyDescent="0.3">
      <c r="D127" s="9"/>
      <c r="G127" s="9"/>
    </row>
    <row r="128" spans="4:7" ht="23.25" customHeight="1" x14ac:dyDescent="0.3">
      <c r="D128" s="9"/>
      <c r="G128" s="9"/>
    </row>
    <row r="129" spans="4:7" ht="23.25" customHeight="1" x14ac:dyDescent="0.3">
      <c r="D129" s="9"/>
      <c r="G129" s="9"/>
    </row>
    <row r="130" spans="4:7" ht="23.25" customHeight="1" x14ac:dyDescent="0.3">
      <c r="D130" s="9"/>
      <c r="G130" s="9"/>
    </row>
    <row r="131" spans="4:7" ht="23.25" customHeight="1" x14ac:dyDescent="0.3">
      <c r="D131" s="9"/>
      <c r="G131" s="9"/>
    </row>
    <row r="132" spans="4:7" ht="23.25" customHeight="1" x14ac:dyDescent="0.3">
      <c r="D132" s="9"/>
      <c r="G132" s="9"/>
    </row>
    <row r="133" spans="4:7" ht="23.25" customHeight="1" x14ac:dyDescent="0.3">
      <c r="D133" s="9"/>
      <c r="G133" s="9"/>
    </row>
    <row r="134" spans="4:7" ht="23.25" customHeight="1" x14ac:dyDescent="0.3">
      <c r="D134" s="9"/>
      <c r="G134" s="9"/>
    </row>
    <row r="135" spans="4:7" ht="23.25" customHeight="1" x14ac:dyDescent="0.3">
      <c r="D135" s="9"/>
      <c r="G135" s="9"/>
    </row>
    <row r="136" spans="4:7" ht="23.25" customHeight="1" x14ac:dyDescent="0.3">
      <c r="D136" s="9"/>
      <c r="G136" s="9"/>
    </row>
    <row r="137" spans="4:7" ht="23.25" customHeight="1" x14ac:dyDescent="0.3">
      <c r="D137" s="9"/>
      <c r="G137" s="9"/>
    </row>
    <row r="138" spans="4:7" ht="23.25" customHeight="1" x14ac:dyDescent="0.3">
      <c r="D138" s="9"/>
      <c r="G138" s="9"/>
    </row>
    <row r="139" spans="4:7" ht="23.25" customHeight="1" x14ac:dyDescent="0.3">
      <c r="D139" s="9"/>
      <c r="G139" s="9"/>
    </row>
    <row r="140" spans="4:7" ht="23.25" customHeight="1" x14ac:dyDescent="0.3">
      <c r="D140" s="9"/>
      <c r="G140" s="9"/>
    </row>
    <row r="141" spans="4:7" ht="23.25" customHeight="1" x14ac:dyDescent="0.3">
      <c r="D141" s="9"/>
      <c r="G141" s="9"/>
    </row>
    <row r="142" spans="4:7" ht="23.25" customHeight="1" x14ac:dyDescent="0.3">
      <c r="D142" s="9"/>
      <c r="G142" s="9"/>
    </row>
    <row r="143" spans="4:7" ht="23.25" customHeight="1" x14ac:dyDescent="0.3">
      <c r="D143" s="9"/>
      <c r="G143" s="9"/>
    </row>
    <row r="144" spans="4:7" ht="23.25" customHeight="1" x14ac:dyDescent="0.3">
      <c r="D144" s="9"/>
      <c r="G144" s="9"/>
    </row>
    <row r="145" spans="4:7" ht="23.25" customHeight="1" x14ac:dyDescent="0.3">
      <c r="D145" s="9"/>
      <c r="G145" s="9"/>
    </row>
    <row r="146" spans="4:7" ht="23.25" customHeight="1" x14ac:dyDescent="0.3">
      <c r="D146" s="9"/>
      <c r="G146" s="9"/>
    </row>
    <row r="147" spans="4:7" ht="23.25" customHeight="1" x14ac:dyDescent="0.3">
      <c r="D147" s="9"/>
      <c r="G147" s="9"/>
    </row>
    <row r="148" spans="4:7" ht="23.25" customHeight="1" x14ac:dyDescent="0.3">
      <c r="D148" s="9"/>
      <c r="G148" s="9"/>
    </row>
    <row r="149" spans="4:7" ht="23.25" customHeight="1" x14ac:dyDescent="0.3">
      <c r="D149" s="9"/>
      <c r="G149" s="9"/>
    </row>
    <row r="150" spans="4:7" ht="23.25" customHeight="1" x14ac:dyDescent="0.3">
      <c r="D150" s="9"/>
      <c r="G150" s="9"/>
    </row>
    <row r="151" spans="4:7" ht="23.25" customHeight="1" x14ac:dyDescent="0.3">
      <c r="D151" s="9"/>
      <c r="G151" s="9"/>
    </row>
    <row r="152" spans="4:7" ht="23.25" customHeight="1" x14ac:dyDescent="0.3">
      <c r="D152" s="9"/>
      <c r="G152" s="9"/>
    </row>
    <row r="153" spans="4:7" ht="23.25" customHeight="1" x14ac:dyDescent="0.3">
      <c r="D153" s="9"/>
      <c r="G153" s="9"/>
    </row>
    <row r="154" spans="4:7" ht="23.25" customHeight="1" x14ac:dyDescent="0.3">
      <c r="D154" s="9"/>
      <c r="G154" s="9"/>
    </row>
    <row r="155" spans="4:7" ht="23.25" customHeight="1" x14ac:dyDescent="0.3">
      <c r="D155" s="9"/>
      <c r="G155" s="9"/>
    </row>
    <row r="156" spans="4:7" ht="23.25" customHeight="1" x14ac:dyDescent="0.3">
      <c r="D156" s="9"/>
      <c r="G156" s="9"/>
    </row>
    <row r="157" spans="4:7" ht="23.25" customHeight="1" x14ac:dyDescent="0.3">
      <c r="D157" s="9"/>
      <c r="G157" s="9"/>
    </row>
    <row r="158" spans="4:7" ht="23.25" customHeight="1" x14ac:dyDescent="0.3">
      <c r="D158" s="9"/>
      <c r="G158" s="9"/>
    </row>
    <row r="159" spans="4:7" ht="23.25" customHeight="1" x14ac:dyDescent="0.3">
      <c r="D159" s="9"/>
      <c r="G159" s="9"/>
    </row>
    <row r="160" spans="4:7" ht="23.25" customHeight="1" x14ac:dyDescent="0.3">
      <c r="D160" s="9"/>
      <c r="G160" s="9"/>
    </row>
    <row r="161" spans="4:7" ht="23.25" customHeight="1" x14ac:dyDescent="0.3">
      <c r="D161" s="9"/>
      <c r="G161" s="9"/>
    </row>
    <row r="162" spans="4:7" ht="23.25" customHeight="1" x14ac:dyDescent="0.3">
      <c r="D162" s="9"/>
      <c r="G162" s="9"/>
    </row>
    <row r="163" spans="4:7" ht="23.25" customHeight="1" x14ac:dyDescent="0.3">
      <c r="D163" s="9"/>
      <c r="G163" s="9"/>
    </row>
    <row r="164" spans="4:7" ht="23.25" customHeight="1" x14ac:dyDescent="0.3">
      <c r="D164" s="9"/>
      <c r="G164" s="9"/>
    </row>
    <row r="165" spans="4:7" ht="23.25" customHeight="1" x14ac:dyDescent="0.3">
      <c r="D165" s="9"/>
      <c r="G165" s="9"/>
    </row>
    <row r="166" spans="4:7" ht="23.25" customHeight="1" x14ac:dyDescent="0.3">
      <c r="D166" s="9"/>
      <c r="G166" s="9"/>
    </row>
    <row r="167" spans="4:7" ht="23.25" customHeight="1" x14ac:dyDescent="0.3">
      <c r="D167" s="9"/>
      <c r="G167" s="9"/>
    </row>
    <row r="168" spans="4:7" ht="23.25" customHeight="1" x14ac:dyDescent="0.3">
      <c r="D168" s="9"/>
      <c r="G168" s="9"/>
    </row>
    <row r="169" spans="4:7" ht="23.25" customHeight="1" x14ac:dyDescent="0.3">
      <c r="D169" s="9"/>
      <c r="G169" s="9"/>
    </row>
    <row r="170" spans="4:7" ht="23.25" customHeight="1" x14ac:dyDescent="0.3">
      <c r="D170" s="9"/>
      <c r="G170" s="9"/>
    </row>
    <row r="171" spans="4:7" ht="23.25" customHeight="1" x14ac:dyDescent="0.3">
      <c r="D171" s="9"/>
      <c r="G171" s="9"/>
    </row>
    <row r="172" spans="4:7" ht="23.25" customHeight="1" x14ac:dyDescent="0.3">
      <c r="D172" s="9"/>
      <c r="G172" s="9"/>
    </row>
    <row r="173" spans="4:7" ht="23.25" customHeight="1" x14ac:dyDescent="0.3">
      <c r="D173" s="9"/>
      <c r="G173" s="9"/>
    </row>
    <row r="174" spans="4:7" ht="23.25" customHeight="1" x14ac:dyDescent="0.3">
      <c r="D174" s="9"/>
      <c r="G174" s="9"/>
    </row>
    <row r="175" spans="4:7" ht="23.25" customHeight="1" x14ac:dyDescent="0.3">
      <c r="D175" s="9"/>
      <c r="G175" s="9"/>
    </row>
    <row r="176" spans="4:7" ht="23.25" customHeight="1" x14ac:dyDescent="0.3">
      <c r="D176" s="9"/>
      <c r="G176" s="9"/>
    </row>
    <row r="177" spans="4:7" ht="23.25" customHeight="1" x14ac:dyDescent="0.3">
      <c r="D177" s="9"/>
      <c r="G177" s="9"/>
    </row>
    <row r="178" spans="4:7" ht="23.25" customHeight="1" x14ac:dyDescent="0.3">
      <c r="D178" s="9"/>
      <c r="G178" s="9"/>
    </row>
    <row r="179" spans="4:7" ht="23.25" customHeight="1" x14ac:dyDescent="0.3">
      <c r="D179" s="9"/>
      <c r="G179" s="9"/>
    </row>
    <row r="180" spans="4:7" ht="23.25" customHeight="1" x14ac:dyDescent="0.3">
      <c r="D180" s="9"/>
      <c r="G180" s="9"/>
    </row>
    <row r="181" spans="4:7" ht="23.25" customHeight="1" x14ac:dyDescent="0.3">
      <c r="D181" s="9"/>
      <c r="G181" s="9"/>
    </row>
    <row r="182" spans="4:7" ht="23.25" customHeight="1" x14ac:dyDescent="0.3">
      <c r="D182" s="9"/>
      <c r="G182" s="9"/>
    </row>
    <row r="183" spans="4:7" ht="23.25" customHeight="1" x14ac:dyDescent="0.3">
      <c r="D183" s="9"/>
      <c r="G183" s="9"/>
    </row>
    <row r="184" spans="4:7" ht="23.25" customHeight="1" x14ac:dyDescent="0.3">
      <c r="D184" s="9"/>
      <c r="G184" s="9"/>
    </row>
    <row r="185" spans="4:7" ht="23.25" customHeight="1" x14ac:dyDescent="0.3">
      <c r="D185" s="9"/>
      <c r="G185" s="9"/>
    </row>
    <row r="186" spans="4:7" ht="23.25" customHeight="1" x14ac:dyDescent="0.3">
      <c r="D186" s="9"/>
      <c r="G186" s="9"/>
    </row>
    <row r="187" spans="4:7" ht="23.25" customHeight="1" x14ac:dyDescent="0.3">
      <c r="D187" s="9"/>
      <c r="G187" s="9"/>
    </row>
    <row r="188" spans="4:7" ht="23.25" customHeight="1" x14ac:dyDescent="0.3">
      <c r="D188" s="9"/>
      <c r="G188" s="9"/>
    </row>
    <row r="189" spans="4:7" ht="23.25" customHeight="1" x14ac:dyDescent="0.3">
      <c r="D189" s="9"/>
      <c r="G189" s="9"/>
    </row>
    <row r="190" spans="4:7" ht="23.25" customHeight="1" x14ac:dyDescent="0.3">
      <c r="D190" s="9"/>
      <c r="G190" s="9"/>
    </row>
    <row r="191" spans="4:7" ht="23.25" customHeight="1" x14ac:dyDescent="0.3">
      <c r="D191" s="9"/>
      <c r="G191" s="9"/>
    </row>
    <row r="192" spans="4:7" ht="23.25" customHeight="1" x14ac:dyDescent="0.3">
      <c r="D192" s="9"/>
      <c r="G192" s="9"/>
    </row>
    <row r="193" spans="4:7" ht="23.25" customHeight="1" x14ac:dyDescent="0.3">
      <c r="D193" s="9"/>
      <c r="G193" s="9"/>
    </row>
    <row r="194" spans="4:7" ht="23.25" customHeight="1" x14ac:dyDescent="0.3">
      <c r="D194" s="9"/>
      <c r="G194" s="9"/>
    </row>
    <row r="195" spans="4:7" ht="23.25" customHeight="1" x14ac:dyDescent="0.3">
      <c r="D195" s="9"/>
      <c r="G195" s="9"/>
    </row>
    <row r="196" spans="4:7" ht="23.25" customHeight="1" x14ac:dyDescent="0.3">
      <c r="D196" s="9"/>
      <c r="G196" s="9"/>
    </row>
    <row r="197" spans="4:7" ht="23.25" customHeight="1" x14ac:dyDescent="0.3">
      <c r="D197" s="9"/>
      <c r="G197" s="9"/>
    </row>
    <row r="198" spans="4:7" ht="23.25" customHeight="1" x14ac:dyDescent="0.3">
      <c r="D198" s="9"/>
      <c r="G198" s="9"/>
    </row>
    <row r="199" spans="4:7" ht="23.25" customHeight="1" x14ac:dyDescent="0.3">
      <c r="D199" s="9"/>
      <c r="G199" s="9"/>
    </row>
    <row r="200" spans="4:7" ht="23.25" customHeight="1" x14ac:dyDescent="0.3">
      <c r="D200" s="9"/>
      <c r="G200" s="9"/>
    </row>
    <row r="201" spans="4:7" ht="23.25" customHeight="1" x14ac:dyDescent="0.3">
      <c r="D201" s="9"/>
      <c r="G201" s="9"/>
    </row>
    <row r="202" spans="4:7" ht="23.25" customHeight="1" x14ac:dyDescent="0.3">
      <c r="D202" s="9"/>
      <c r="G202" s="9"/>
    </row>
    <row r="203" spans="4:7" ht="23.25" customHeight="1" x14ac:dyDescent="0.3">
      <c r="D203" s="9"/>
      <c r="G203" s="9"/>
    </row>
    <row r="204" spans="4:7" ht="23.25" customHeight="1" x14ac:dyDescent="0.3">
      <c r="D204" s="9"/>
      <c r="G204" s="9"/>
    </row>
    <row r="205" spans="4:7" ht="23.25" customHeight="1" x14ac:dyDescent="0.3">
      <c r="D205" s="9"/>
      <c r="G205" s="9"/>
    </row>
    <row r="206" spans="4:7" ht="23.25" customHeight="1" x14ac:dyDescent="0.3">
      <c r="D206" s="9"/>
      <c r="G206" s="9"/>
    </row>
    <row r="207" spans="4:7" ht="23.25" customHeight="1" x14ac:dyDescent="0.3">
      <c r="D207" s="9"/>
      <c r="G207" s="9"/>
    </row>
    <row r="208" spans="4:7" ht="23.25" customHeight="1" x14ac:dyDescent="0.3">
      <c r="D208" s="9"/>
      <c r="G208" s="9"/>
    </row>
    <row r="209" spans="4:7" ht="23.25" customHeight="1" x14ac:dyDescent="0.3">
      <c r="D209" s="9"/>
      <c r="G209" s="9"/>
    </row>
    <row r="210" spans="4:7" ht="23.25" customHeight="1" x14ac:dyDescent="0.3">
      <c r="D210" s="9"/>
      <c r="G210" s="9"/>
    </row>
    <row r="211" spans="4:7" ht="23.25" customHeight="1" x14ac:dyDescent="0.3">
      <c r="D211" s="9"/>
      <c r="G211" s="9"/>
    </row>
    <row r="212" spans="4:7" ht="23.25" customHeight="1" x14ac:dyDescent="0.3">
      <c r="D212" s="9"/>
      <c r="G212" s="9"/>
    </row>
    <row r="213" spans="4:7" ht="23.25" customHeight="1" x14ac:dyDescent="0.3">
      <c r="D213" s="9"/>
      <c r="G213" s="9"/>
    </row>
    <row r="214" spans="4:7" ht="23.25" customHeight="1" x14ac:dyDescent="0.3">
      <c r="D214" s="9"/>
      <c r="G214" s="9"/>
    </row>
    <row r="215" spans="4:7" ht="23.25" customHeight="1" x14ac:dyDescent="0.3">
      <c r="D215" s="9"/>
      <c r="G215" s="9"/>
    </row>
    <row r="216" spans="4:7" ht="23.25" customHeight="1" x14ac:dyDescent="0.3">
      <c r="D216" s="9"/>
      <c r="G216" s="9"/>
    </row>
    <row r="217" spans="4:7" ht="23.25" customHeight="1" x14ac:dyDescent="0.3">
      <c r="D217" s="9"/>
      <c r="G217" s="9"/>
    </row>
    <row r="218" spans="4:7" ht="23.25" customHeight="1" x14ac:dyDescent="0.3">
      <c r="D218" s="9"/>
      <c r="G218" s="9"/>
    </row>
    <row r="219" spans="4:7" ht="23.25" customHeight="1" x14ac:dyDescent="0.3">
      <c r="D219" s="9"/>
      <c r="G219" s="9"/>
    </row>
    <row r="220" spans="4:7" ht="23.25" customHeight="1" x14ac:dyDescent="0.3">
      <c r="D220" s="9"/>
      <c r="G220" s="9"/>
    </row>
    <row r="221" spans="4:7" ht="23.25" customHeight="1" x14ac:dyDescent="0.3">
      <c r="D221" s="9"/>
      <c r="G221" s="9"/>
    </row>
    <row r="222" spans="4:7" ht="23.25" customHeight="1" x14ac:dyDescent="0.3">
      <c r="D222" s="9"/>
      <c r="G222" s="9"/>
    </row>
    <row r="223" spans="4:7" ht="23.25" customHeight="1" x14ac:dyDescent="0.3">
      <c r="D223" s="9"/>
      <c r="G223" s="9"/>
    </row>
    <row r="224" spans="4:7" ht="23.25" customHeight="1" x14ac:dyDescent="0.3">
      <c r="D224" s="9"/>
      <c r="G224" s="9"/>
    </row>
    <row r="225" spans="4:7" ht="23.25" customHeight="1" x14ac:dyDescent="0.3">
      <c r="D225" s="9"/>
      <c r="G225" s="9"/>
    </row>
    <row r="226" spans="4:7" ht="23.25" customHeight="1" x14ac:dyDescent="0.3">
      <c r="D226" s="9"/>
      <c r="G226" s="9"/>
    </row>
    <row r="227" spans="4:7" ht="23.25" customHeight="1" x14ac:dyDescent="0.3">
      <c r="D227" s="9"/>
      <c r="G227" s="9"/>
    </row>
    <row r="228" spans="4:7" ht="23.25" customHeight="1" x14ac:dyDescent="0.3">
      <c r="D228" s="9"/>
      <c r="G228" s="9"/>
    </row>
    <row r="229" spans="4:7" ht="23.25" customHeight="1" x14ac:dyDescent="0.3">
      <c r="D229" s="9"/>
      <c r="G229" s="9"/>
    </row>
    <row r="230" spans="4:7" ht="23.25" customHeight="1" x14ac:dyDescent="0.3">
      <c r="D230" s="9"/>
      <c r="G230" s="9"/>
    </row>
    <row r="231" spans="4:7" ht="23.25" customHeight="1" x14ac:dyDescent="0.3">
      <c r="D231" s="9"/>
      <c r="G231" s="9"/>
    </row>
    <row r="232" spans="4:7" ht="23.25" customHeight="1" x14ac:dyDescent="0.3">
      <c r="D232" s="9"/>
      <c r="G232" s="9"/>
    </row>
    <row r="233" spans="4:7" ht="23.25" customHeight="1" x14ac:dyDescent="0.3">
      <c r="D233" s="9"/>
      <c r="G233" s="9"/>
    </row>
    <row r="234" spans="4:7" ht="23.25" customHeight="1" x14ac:dyDescent="0.3">
      <c r="D234" s="9"/>
      <c r="G234" s="9"/>
    </row>
    <row r="235" spans="4:7" ht="23.25" customHeight="1" x14ac:dyDescent="0.3">
      <c r="D235" s="9"/>
      <c r="G235" s="9"/>
    </row>
    <row r="236" spans="4:7" ht="23.25" customHeight="1" x14ac:dyDescent="0.3">
      <c r="D236" s="9"/>
      <c r="G236" s="9"/>
    </row>
    <row r="237" spans="4:7" ht="23.25" customHeight="1" x14ac:dyDescent="0.3">
      <c r="D237" s="9"/>
      <c r="G237" s="9"/>
    </row>
    <row r="238" spans="4:7" ht="23.25" customHeight="1" x14ac:dyDescent="0.3">
      <c r="D238" s="9"/>
      <c r="G238" s="9"/>
    </row>
    <row r="239" spans="4:7" ht="23.25" customHeight="1" x14ac:dyDescent="0.3">
      <c r="D239" s="9"/>
      <c r="G239" s="9"/>
    </row>
    <row r="240" spans="4:7" ht="23.25" customHeight="1" x14ac:dyDescent="0.3">
      <c r="D240" s="9"/>
      <c r="G240" s="9"/>
    </row>
    <row r="241" spans="4:7" ht="23.25" customHeight="1" x14ac:dyDescent="0.3">
      <c r="D241" s="9"/>
      <c r="G241" s="9"/>
    </row>
    <row r="242" spans="4:7" ht="23.25" customHeight="1" x14ac:dyDescent="0.3">
      <c r="D242" s="9"/>
      <c r="G242" s="9"/>
    </row>
    <row r="243" spans="4:7" ht="23.25" customHeight="1" x14ac:dyDescent="0.3">
      <c r="D243" s="9"/>
      <c r="G243" s="9"/>
    </row>
    <row r="244" spans="4:7" ht="23.25" customHeight="1" x14ac:dyDescent="0.3">
      <c r="D244" s="9"/>
      <c r="G244" s="9"/>
    </row>
    <row r="245" spans="4:7" ht="23.25" customHeight="1" x14ac:dyDescent="0.3">
      <c r="D245" s="9"/>
      <c r="G245" s="9"/>
    </row>
    <row r="246" spans="4:7" ht="23.25" customHeight="1" x14ac:dyDescent="0.3">
      <c r="D246" s="9"/>
      <c r="G246" s="9"/>
    </row>
    <row r="247" spans="4:7" ht="23.25" customHeight="1" x14ac:dyDescent="0.3">
      <c r="D247" s="9"/>
      <c r="G247" s="9"/>
    </row>
    <row r="248" spans="4:7" ht="23.25" customHeight="1" x14ac:dyDescent="0.3">
      <c r="D248" s="9"/>
      <c r="G248" s="9"/>
    </row>
    <row r="249" spans="4:7" ht="23.25" customHeight="1" x14ac:dyDescent="0.3">
      <c r="D249" s="9"/>
      <c r="G249" s="9"/>
    </row>
    <row r="250" spans="4:7" ht="23.25" customHeight="1" x14ac:dyDescent="0.3">
      <c r="D250" s="9"/>
      <c r="G250" s="9"/>
    </row>
    <row r="251" spans="4:7" ht="23.25" customHeight="1" x14ac:dyDescent="0.3">
      <c r="D251" s="9"/>
      <c r="G251" s="9"/>
    </row>
    <row r="252" spans="4:7" ht="23.25" customHeight="1" x14ac:dyDescent="0.3">
      <c r="D252" s="9"/>
      <c r="G252" s="9"/>
    </row>
    <row r="253" spans="4:7" ht="23.25" customHeight="1" x14ac:dyDescent="0.3">
      <c r="D253" s="9"/>
      <c r="G253" s="9"/>
    </row>
    <row r="254" spans="4:7" ht="23.25" customHeight="1" x14ac:dyDescent="0.3">
      <c r="D254" s="9"/>
      <c r="G254" s="9"/>
    </row>
    <row r="255" spans="4:7" ht="23.25" customHeight="1" x14ac:dyDescent="0.3">
      <c r="D255" s="9"/>
      <c r="G255" s="9"/>
    </row>
    <row r="256" spans="4:7" ht="23.25" customHeight="1" x14ac:dyDescent="0.3">
      <c r="D256" s="9"/>
      <c r="G256" s="9"/>
    </row>
    <row r="257" spans="4:7" ht="23.25" customHeight="1" x14ac:dyDescent="0.3">
      <c r="D257" s="9"/>
      <c r="G257" s="9"/>
    </row>
    <row r="258" spans="4:7" ht="23.25" customHeight="1" x14ac:dyDescent="0.3">
      <c r="D258" s="9"/>
      <c r="G258" s="9"/>
    </row>
    <row r="259" spans="4:7" ht="23.25" customHeight="1" x14ac:dyDescent="0.3">
      <c r="D259" s="9"/>
      <c r="G259" s="9"/>
    </row>
    <row r="260" spans="4:7" ht="23.25" customHeight="1" x14ac:dyDescent="0.3">
      <c r="D260" s="9"/>
      <c r="G260" s="9"/>
    </row>
    <row r="261" spans="4:7" ht="23.25" customHeight="1" x14ac:dyDescent="0.3">
      <c r="D261" s="9"/>
      <c r="G261" s="9"/>
    </row>
    <row r="262" spans="4:7" ht="23.25" customHeight="1" x14ac:dyDescent="0.3">
      <c r="D262" s="9"/>
      <c r="G262" s="9"/>
    </row>
    <row r="263" spans="4:7" ht="23.25" customHeight="1" x14ac:dyDescent="0.3">
      <c r="D263" s="9"/>
      <c r="G263" s="9"/>
    </row>
    <row r="264" spans="4:7" ht="23.25" customHeight="1" x14ac:dyDescent="0.3">
      <c r="D264" s="9"/>
      <c r="G264" s="9"/>
    </row>
    <row r="265" spans="4:7" ht="23.25" customHeight="1" x14ac:dyDescent="0.3">
      <c r="D265" s="9"/>
      <c r="G265" s="9"/>
    </row>
    <row r="266" spans="4:7" ht="23.25" customHeight="1" x14ac:dyDescent="0.3">
      <c r="D266" s="9"/>
      <c r="G266" s="9"/>
    </row>
    <row r="267" spans="4:7" ht="23.25" customHeight="1" x14ac:dyDescent="0.3">
      <c r="D267" s="9"/>
      <c r="G267" s="9"/>
    </row>
    <row r="268" spans="4:7" ht="23.25" customHeight="1" x14ac:dyDescent="0.3">
      <c r="D268" s="9"/>
      <c r="G268" s="9"/>
    </row>
    <row r="269" spans="4:7" ht="23.25" customHeight="1" x14ac:dyDescent="0.3">
      <c r="D269" s="9"/>
      <c r="G269" s="9"/>
    </row>
    <row r="270" spans="4:7" ht="23.25" customHeight="1" x14ac:dyDescent="0.3">
      <c r="D270" s="9"/>
      <c r="G270" s="9"/>
    </row>
    <row r="271" spans="4:7" ht="23.25" customHeight="1" x14ac:dyDescent="0.3">
      <c r="D271" s="9"/>
      <c r="G271" s="9"/>
    </row>
    <row r="272" spans="4:7" ht="23.25" customHeight="1" x14ac:dyDescent="0.3">
      <c r="D272" s="9"/>
      <c r="G272" s="9"/>
    </row>
    <row r="273" spans="4:7" ht="23.25" customHeight="1" x14ac:dyDescent="0.3">
      <c r="D273" s="9"/>
      <c r="G273" s="9"/>
    </row>
    <row r="274" spans="4:7" ht="23.25" customHeight="1" x14ac:dyDescent="0.3">
      <c r="D274" s="9"/>
      <c r="G274" s="9"/>
    </row>
    <row r="275" spans="4:7" ht="23.25" customHeight="1" x14ac:dyDescent="0.3">
      <c r="D275" s="9"/>
      <c r="G275" s="9"/>
    </row>
    <row r="276" spans="4:7" ht="23.25" customHeight="1" x14ac:dyDescent="0.3">
      <c r="D276" s="9"/>
      <c r="G276" s="9"/>
    </row>
    <row r="277" spans="4:7" ht="23.25" customHeight="1" x14ac:dyDescent="0.3">
      <c r="D277" s="9"/>
      <c r="G277" s="9"/>
    </row>
    <row r="278" spans="4:7" ht="23.25" customHeight="1" x14ac:dyDescent="0.3">
      <c r="D278" s="9"/>
      <c r="G278" s="9"/>
    </row>
    <row r="279" spans="4:7" ht="23.25" customHeight="1" x14ac:dyDescent="0.3">
      <c r="D279" s="9"/>
      <c r="G279" s="9"/>
    </row>
    <row r="280" spans="4:7" ht="23.25" customHeight="1" x14ac:dyDescent="0.3">
      <c r="D280" s="9"/>
      <c r="G280" s="9"/>
    </row>
    <row r="281" spans="4:7" ht="23.25" customHeight="1" x14ac:dyDescent="0.3">
      <c r="D281" s="9"/>
      <c r="G281" s="9"/>
    </row>
    <row r="282" spans="4:7" ht="23.25" customHeight="1" x14ac:dyDescent="0.3">
      <c r="D282" s="9"/>
      <c r="G282" s="9"/>
    </row>
    <row r="283" spans="4:7" ht="23.25" customHeight="1" x14ac:dyDescent="0.3">
      <c r="D283" s="9"/>
      <c r="G283" s="9"/>
    </row>
    <row r="284" spans="4:7" ht="23.25" customHeight="1" x14ac:dyDescent="0.3">
      <c r="D284" s="9"/>
      <c r="G284" s="9"/>
    </row>
    <row r="285" spans="4:7" ht="23.25" customHeight="1" x14ac:dyDescent="0.3">
      <c r="D285" s="9"/>
      <c r="G285" s="9"/>
    </row>
    <row r="286" spans="4:7" ht="23.25" customHeight="1" x14ac:dyDescent="0.3">
      <c r="D286" s="9"/>
      <c r="G286" s="9"/>
    </row>
    <row r="287" spans="4:7" ht="23.25" customHeight="1" x14ac:dyDescent="0.3">
      <c r="D287" s="9"/>
      <c r="G287" s="9"/>
    </row>
    <row r="288" spans="4:7" ht="23.25" customHeight="1" x14ac:dyDescent="0.3">
      <c r="D288" s="9"/>
      <c r="G288" s="9"/>
    </row>
    <row r="289" spans="4:7" ht="23.25" customHeight="1" x14ac:dyDescent="0.3">
      <c r="D289" s="9"/>
      <c r="G289" s="9"/>
    </row>
    <row r="290" spans="4:7" ht="23.25" customHeight="1" x14ac:dyDescent="0.3">
      <c r="D290" s="9"/>
      <c r="G290" s="9"/>
    </row>
    <row r="291" spans="4:7" ht="23.25" customHeight="1" x14ac:dyDescent="0.3">
      <c r="D291" s="9"/>
      <c r="G291" s="9"/>
    </row>
    <row r="292" spans="4:7" ht="23.25" customHeight="1" x14ac:dyDescent="0.3">
      <c r="D292" s="9"/>
      <c r="G292" s="9"/>
    </row>
    <row r="293" spans="4:7" ht="23.25" customHeight="1" x14ac:dyDescent="0.3">
      <c r="D293" s="9"/>
      <c r="G293" s="9"/>
    </row>
    <row r="294" spans="4:7" ht="23.25" customHeight="1" x14ac:dyDescent="0.3">
      <c r="D294" s="9"/>
      <c r="G294" s="9"/>
    </row>
    <row r="295" spans="4:7" ht="23.25" customHeight="1" x14ac:dyDescent="0.3">
      <c r="D295" s="9"/>
      <c r="G295" s="9"/>
    </row>
    <row r="296" spans="4:7" ht="23.25" customHeight="1" x14ac:dyDescent="0.3">
      <c r="D296" s="9"/>
      <c r="G296" s="9"/>
    </row>
    <row r="297" spans="4:7" ht="23.25" customHeight="1" x14ac:dyDescent="0.3">
      <c r="D297" s="9"/>
      <c r="G297" s="9"/>
    </row>
    <row r="298" spans="4:7" ht="23.25" customHeight="1" x14ac:dyDescent="0.3">
      <c r="D298" s="9"/>
      <c r="G298" s="9"/>
    </row>
    <row r="299" spans="4:7" ht="23.25" customHeight="1" x14ac:dyDescent="0.3">
      <c r="D299" s="9"/>
      <c r="G299" s="9"/>
    </row>
    <row r="300" spans="4:7" ht="23.25" customHeight="1" x14ac:dyDescent="0.3">
      <c r="D300" s="9"/>
      <c r="G300" s="9"/>
    </row>
    <row r="301" spans="4:7" ht="23.25" customHeight="1" x14ac:dyDescent="0.3">
      <c r="D301" s="9"/>
      <c r="G301" s="9"/>
    </row>
    <row r="302" spans="4:7" ht="23.25" customHeight="1" x14ac:dyDescent="0.3">
      <c r="D302" s="9"/>
      <c r="G302" s="9"/>
    </row>
    <row r="303" spans="4:7" ht="23.25" customHeight="1" x14ac:dyDescent="0.3">
      <c r="D303" s="9"/>
      <c r="G303" s="9"/>
    </row>
    <row r="304" spans="4:7" ht="23.25" customHeight="1" x14ac:dyDescent="0.3">
      <c r="D304" s="9"/>
      <c r="G304" s="9"/>
    </row>
    <row r="305" spans="4:7" ht="23.25" customHeight="1" x14ac:dyDescent="0.3">
      <c r="D305" s="9"/>
      <c r="G305" s="9"/>
    </row>
    <row r="306" spans="4:7" ht="23.25" customHeight="1" x14ac:dyDescent="0.3">
      <c r="D306" s="9"/>
      <c r="G306" s="9"/>
    </row>
    <row r="307" spans="4:7" ht="23.25" customHeight="1" x14ac:dyDescent="0.3">
      <c r="D307" s="9"/>
      <c r="G307" s="9"/>
    </row>
    <row r="308" spans="4:7" ht="23.25" customHeight="1" x14ac:dyDescent="0.3">
      <c r="D308" s="9"/>
      <c r="G308" s="9"/>
    </row>
    <row r="309" spans="4:7" ht="23.25" customHeight="1" x14ac:dyDescent="0.3">
      <c r="D309" s="9"/>
      <c r="G309" s="9"/>
    </row>
    <row r="310" spans="4:7" ht="23.25" customHeight="1" x14ac:dyDescent="0.3">
      <c r="D310" s="9"/>
      <c r="G310" s="9"/>
    </row>
    <row r="311" spans="4:7" ht="23.25" customHeight="1" x14ac:dyDescent="0.3">
      <c r="D311" s="9"/>
      <c r="G311" s="9"/>
    </row>
    <row r="312" spans="4:7" ht="23.25" customHeight="1" x14ac:dyDescent="0.3">
      <c r="D312" s="9"/>
      <c r="G312" s="9"/>
    </row>
    <row r="313" spans="4:7" ht="23.25" customHeight="1" x14ac:dyDescent="0.3">
      <c r="D313" s="9"/>
      <c r="G313" s="9"/>
    </row>
    <row r="314" spans="4:7" ht="23.25" customHeight="1" x14ac:dyDescent="0.3">
      <c r="D314" s="9"/>
      <c r="G314" s="9"/>
    </row>
    <row r="315" spans="4:7" ht="23.25" customHeight="1" x14ac:dyDescent="0.3">
      <c r="D315" s="9"/>
      <c r="G315" s="9"/>
    </row>
    <row r="316" spans="4:7" ht="23.25" customHeight="1" x14ac:dyDescent="0.3">
      <c r="D316" s="9"/>
      <c r="G316" s="9"/>
    </row>
    <row r="317" spans="4:7" ht="23.25" customHeight="1" x14ac:dyDescent="0.3">
      <c r="D317" s="9"/>
      <c r="G317" s="9"/>
    </row>
    <row r="318" spans="4:7" ht="23.25" customHeight="1" x14ac:dyDescent="0.3">
      <c r="D318" s="9"/>
      <c r="G318" s="9"/>
    </row>
    <row r="319" spans="4:7" ht="23.25" customHeight="1" x14ac:dyDescent="0.3">
      <c r="D319" s="9"/>
      <c r="G319" s="9"/>
    </row>
    <row r="320" spans="4:7" ht="23.25" customHeight="1" x14ac:dyDescent="0.3">
      <c r="D320" s="9"/>
      <c r="G320" s="9"/>
    </row>
    <row r="321" spans="4:7" ht="23.25" customHeight="1" x14ac:dyDescent="0.3">
      <c r="D321" s="9"/>
      <c r="G321" s="9"/>
    </row>
    <row r="322" spans="4:7" ht="23.25" customHeight="1" x14ac:dyDescent="0.3">
      <c r="D322" s="9"/>
      <c r="G322" s="9"/>
    </row>
    <row r="323" spans="4:7" ht="23.25" customHeight="1" x14ac:dyDescent="0.3">
      <c r="D323" s="9"/>
      <c r="G323" s="9"/>
    </row>
    <row r="324" spans="4:7" ht="23.25" customHeight="1" x14ac:dyDescent="0.3">
      <c r="D324" s="9"/>
      <c r="G324" s="9"/>
    </row>
    <row r="325" spans="4:7" ht="23.25" customHeight="1" x14ac:dyDescent="0.3">
      <c r="D325" s="9"/>
      <c r="G325" s="9"/>
    </row>
    <row r="326" spans="4:7" ht="23.25" customHeight="1" x14ac:dyDescent="0.3">
      <c r="D326" s="9"/>
      <c r="G326" s="9"/>
    </row>
    <row r="327" spans="4:7" ht="23.25" customHeight="1" x14ac:dyDescent="0.3">
      <c r="D327" s="9"/>
      <c r="G327" s="9"/>
    </row>
    <row r="328" spans="4:7" ht="23.25" customHeight="1" x14ac:dyDescent="0.3">
      <c r="D328" s="9"/>
      <c r="G328" s="9"/>
    </row>
    <row r="329" spans="4:7" ht="23.25" customHeight="1" x14ac:dyDescent="0.3">
      <c r="D329" s="9"/>
      <c r="G329" s="9"/>
    </row>
    <row r="330" spans="4:7" ht="23.25" customHeight="1" x14ac:dyDescent="0.3">
      <c r="D330" s="9"/>
      <c r="G330" s="9"/>
    </row>
    <row r="331" spans="4:7" ht="23.25" customHeight="1" x14ac:dyDescent="0.3">
      <c r="D331" s="9"/>
      <c r="G331" s="9"/>
    </row>
    <row r="332" spans="4:7" ht="23.25" customHeight="1" x14ac:dyDescent="0.3">
      <c r="D332" s="9"/>
      <c r="G332" s="9"/>
    </row>
    <row r="333" spans="4:7" ht="23.25" customHeight="1" x14ac:dyDescent="0.3">
      <c r="D333" s="9"/>
      <c r="G333" s="9"/>
    </row>
    <row r="334" spans="4:7" ht="23.25" customHeight="1" x14ac:dyDescent="0.3">
      <c r="D334" s="9"/>
      <c r="G334" s="9"/>
    </row>
    <row r="335" spans="4:7" ht="23.25" customHeight="1" x14ac:dyDescent="0.3">
      <c r="D335" s="9"/>
      <c r="G335" s="9"/>
    </row>
    <row r="336" spans="4:7" ht="23.25" customHeight="1" x14ac:dyDescent="0.3">
      <c r="D336" s="9"/>
      <c r="G336" s="9"/>
    </row>
    <row r="337" spans="4:7" ht="23.25" customHeight="1" x14ac:dyDescent="0.3">
      <c r="D337" s="9"/>
      <c r="G337" s="9"/>
    </row>
    <row r="338" spans="4:7" ht="23.25" customHeight="1" x14ac:dyDescent="0.3">
      <c r="D338" s="9"/>
      <c r="G338" s="9"/>
    </row>
    <row r="339" spans="4:7" ht="23.25" customHeight="1" x14ac:dyDescent="0.3">
      <c r="D339" s="9"/>
      <c r="G339" s="9"/>
    </row>
    <row r="340" spans="4:7" ht="23.25" customHeight="1" x14ac:dyDescent="0.3">
      <c r="D340" s="9"/>
      <c r="G340" s="9"/>
    </row>
    <row r="341" spans="4:7" ht="23.25" customHeight="1" x14ac:dyDescent="0.3">
      <c r="D341" s="9"/>
      <c r="G341" s="9"/>
    </row>
    <row r="342" spans="4:7" ht="23.25" customHeight="1" x14ac:dyDescent="0.3">
      <c r="D342" s="9"/>
      <c r="G342" s="9"/>
    </row>
    <row r="343" spans="4:7" ht="23.25" customHeight="1" x14ac:dyDescent="0.3">
      <c r="D343" s="9"/>
      <c r="G343" s="9"/>
    </row>
    <row r="344" spans="4:7" ht="23.25" customHeight="1" x14ac:dyDescent="0.3">
      <c r="D344" s="9"/>
      <c r="G344" s="9"/>
    </row>
    <row r="345" spans="4:7" ht="23.25" customHeight="1" x14ac:dyDescent="0.3">
      <c r="D345" s="9"/>
      <c r="G345" s="9"/>
    </row>
    <row r="346" spans="4:7" ht="23.25" customHeight="1" x14ac:dyDescent="0.3">
      <c r="D346" s="9"/>
      <c r="G346" s="9"/>
    </row>
    <row r="347" spans="4:7" ht="23.25" customHeight="1" x14ac:dyDescent="0.3">
      <c r="D347" s="9"/>
      <c r="G347" s="9"/>
    </row>
    <row r="348" spans="4:7" ht="23.25" customHeight="1" x14ac:dyDescent="0.3">
      <c r="D348" s="9"/>
      <c r="G348" s="9"/>
    </row>
    <row r="349" spans="4:7" ht="23.25" customHeight="1" x14ac:dyDescent="0.3">
      <c r="D349" s="9"/>
      <c r="G349" s="9"/>
    </row>
    <row r="350" spans="4:7" ht="23.25" customHeight="1" x14ac:dyDescent="0.3">
      <c r="D350" s="9"/>
      <c r="G350" s="9"/>
    </row>
    <row r="351" spans="4:7" ht="23.25" customHeight="1" x14ac:dyDescent="0.3">
      <c r="D351" s="9"/>
      <c r="G351" s="9"/>
    </row>
    <row r="352" spans="4:7" ht="23.25" customHeight="1" x14ac:dyDescent="0.3">
      <c r="D352" s="9"/>
      <c r="G352" s="9"/>
    </row>
    <row r="353" spans="4:7" ht="23.25" customHeight="1" x14ac:dyDescent="0.3">
      <c r="D353" s="9"/>
      <c r="G353" s="9"/>
    </row>
    <row r="354" spans="4:7" ht="23.25" customHeight="1" x14ac:dyDescent="0.3">
      <c r="D354" s="9"/>
      <c r="G354" s="9"/>
    </row>
    <row r="355" spans="4:7" ht="23.25" customHeight="1" x14ac:dyDescent="0.3">
      <c r="D355" s="9"/>
      <c r="G355" s="9"/>
    </row>
    <row r="356" spans="4:7" ht="23.25" customHeight="1" x14ac:dyDescent="0.3">
      <c r="D356" s="9"/>
      <c r="G356" s="9"/>
    </row>
    <row r="357" spans="4:7" ht="23.25" customHeight="1" x14ac:dyDescent="0.3">
      <c r="D357" s="9"/>
      <c r="G357" s="9"/>
    </row>
    <row r="358" spans="4:7" ht="23.25" customHeight="1" x14ac:dyDescent="0.3">
      <c r="D358" s="9"/>
      <c r="G358" s="9"/>
    </row>
    <row r="359" spans="4:7" ht="23.25" customHeight="1" x14ac:dyDescent="0.3">
      <c r="D359" s="9"/>
      <c r="G359" s="9"/>
    </row>
    <row r="360" spans="4:7" ht="23.25" customHeight="1" x14ac:dyDescent="0.3">
      <c r="D360" s="9"/>
      <c r="G360" s="9"/>
    </row>
    <row r="361" spans="4:7" ht="23.25" customHeight="1" x14ac:dyDescent="0.3">
      <c r="D361" s="9"/>
      <c r="G361" s="9"/>
    </row>
    <row r="362" spans="4:7" ht="23.25" customHeight="1" x14ac:dyDescent="0.3">
      <c r="D362" s="9"/>
      <c r="G362" s="9"/>
    </row>
    <row r="363" spans="4:7" ht="23.25" customHeight="1" x14ac:dyDescent="0.3">
      <c r="D363" s="9"/>
      <c r="G363" s="9"/>
    </row>
    <row r="364" spans="4:7" ht="23.25" customHeight="1" x14ac:dyDescent="0.3">
      <c r="D364" s="9"/>
      <c r="G364" s="9"/>
    </row>
    <row r="365" spans="4:7" ht="23.25" customHeight="1" x14ac:dyDescent="0.3">
      <c r="D365" s="9"/>
      <c r="G365" s="9"/>
    </row>
    <row r="366" spans="4:7" ht="23.25" customHeight="1" x14ac:dyDescent="0.3">
      <c r="D366" s="9"/>
      <c r="G366" s="9"/>
    </row>
    <row r="367" spans="4:7" ht="23.25" customHeight="1" x14ac:dyDescent="0.3">
      <c r="D367" s="9"/>
      <c r="G367" s="9"/>
    </row>
    <row r="368" spans="4:7" ht="23.25" customHeight="1" x14ac:dyDescent="0.3">
      <c r="D368" s="9"/>
      <c r="G368" s="9"/>
    </row>
    <row r="369" spans="4:7" ht="23.25" customHeight="1" x14ac:dyDescent="0.3">
      <c r="D369" s="9"/>
      <c r="G369" s="9"/>
    </row>
    <row r="370" spans="4:7" ht="23.25" customHeight="1" x14ac:dyDescent="0.3">
      <c r="D370" s="9"/>
      <c r="G370" s="9"/>
    </row>
    <row r="371" spans="4:7" ht="23.25" customHeight="1" x14ac:dyDescent="0.3">
      <c r="D371" s="9"/>
      <c r="G371" s="9"/>
    </row>
    <row r="372" spans="4:7" ht="23.25" customHeight="1" x14ac:dyDescent="0.3">
      <c r="D372" s="9"/>
      <c r="G372" s="9"/>
    </row>
    <row r="373" spans="4:7" ht="23.25" customHeight="1" x14ac:dyDescent="0.3">
      <c r="D373" s="9"/>
      <c r="G373" s="9"/>
    </row>
    <row r="374" spans="4:7" ht="23.25" customHeight="1" x14ac:dyDescent="0.3">
      <c r="D374" s="9"/>
      <c r="G374" s="9"/>
    </row>
    <row r="375" spans="4:7" ht="23.25" customHeight="1" x14ac:dyDescent="0.3">
      <c r="D375" s="9"/>
      <c r="G375" s="9"/>
    </row>
    <row r="376" spans="4:7" ht="23.25" customHeight="1" x14ac:dyDescent="0.3">
      <c r="D376" s="9"/>
      <c r="G376" s="9"/>
    </row>
    <row r="377" spans="4:7" ht="23.25" customHeight="1" x14ac:dyDescent="0.3">
      <c r="D377" s="9"/>
      <c r="G377" s="9"/>
    </row>
    <row r="378" spans="4:7" ht="23.25" customHeight="1" x14ac:dyDescent="0.3">
      <c r="D378" s="9"/>
      <c r="G378" s="9"/>
    </row>
    <row r="379" spans="4:7" ht="23.25" customHeight="1" x14ac:dyDescent="0.3">
      <c r="D379" s="9"/>
      <c r="G379" s="9"/>
    </row>
    <row r="380" spans="4:7" ht="23.25" customHeight="1" x14ac:dyDescent="0.3">
      <c r="D380" s="9"/>
      <c r="G380" s="9"/>
    </row>
    <row r="381" spans="4:7" ht="23.25" customHeight="1" x14ac:dyDescent="0.3">
      <c r="D381" s="9"/>
      <c r="G381" s="9"/>
    </row>
    <row r="382" spans="4:7" ht="23.25" customHeight="1" x14ac:dyDescent="0.3">
      <c r="D382" s="9"/>
      <c r="G382" s="9"/>
    </row>
    <row r="383" spans="4:7" ht="23.25" customHeight="1" x14ac:dyDescent="0.3">
      <c r="D383" s="9"/>
      <c r="G383" s="9"/>
    </row>
    <row r="384" spans="4:7" ht="23.25" customHeight="1" x14ac:dyDescent="0.3">
      <c r="D384" s="9"/>
      <c r="G384" s="9"/>
    </row>
    <row r="385" spans="4:7" ht="23.25" customHeight="1" x14ac:dyDescent="0.3">
      <c r="D385" s="9"/>
      <c r="G385" s="9"/>
    </row>
    <row r="386" spans="4:7" ht="23.25" customHeight="1" x14ac:dyDescent="0.3">
      <c r="D386" s="9"/>
      <c r="G386" s="9"/>
    </row>
    <row r="387" spans="4:7" ht="23.25" customHeight="1" x14ac:dyDescent="0.3">
      <c r="D387" s="9"/>
      <c r="G387" s="9"/>
    </row>
    <row r="388" spans="4:7" ht="23.25" customHeight="1" x14ac:dyDescent="0.3">
      <c r="D388" s="9"/>
      <c r="G388" s="9"/>
    </row>
    <row r="389" spans="4:7" ht="23.25" customHeight="1" x14ac:dyDescent="0.3">
      <c r="D389" s="9"/>
      <c r="G389" s="9"/>
    </row>
    <row r="390" spans="4:7" ht="23.25" customHeight="1" x14ac:dyDescent="0.3">
      <c r="D390" s="9"/>
      <c r="G390" s="9"/>
    </row>
    <row r="391" spans="4:7" ht="23.25" customHeight="1" x14ac:dyDescent="0.3">
      <c r="D391" s="9"/>
      <c r="G391" s="9"/>
    </row>
    <row r="392" spans="4:7" ht="23.25" customHeight="1" x14ac:dyDescent="0.3">
      <c r="D392" s="9"/>
      <c r="G392" s="9"/>
    </row>
    <row r="393" spans="4:7" ht="23.25" customHeight="1" x14ac:dyDescent="0.3">
      <c r="D393" s="9"/>
      <c r="G393" s="9"/>
    </row>
    <row r="394" spans="4:7" ht="23.25" customHeight="1" x14ac:dyDescent="0.3">
      <c r="D394" s="9"/>
      <c r="G394" s="9"/>
    </row>
    <row r="395" spans="4:7" ht="23.25" customHeight="1" x14ac:dyDescent="0.3">
      <c r="D395" s="9"/>
      <c r="G395" s="9"/>
    </row>
    <row r="396" spans="4:7" ht="23.25" customHeight="1" x14ac:dyDescent="0.3">
      <c r="D396" s="9"/>
      <c r="G396" s="9"/>
    </row>
    <row r="397" spans="4:7" ht="23.25" customHeight="1" x14ac:dyDescent="0.3">
      <c r="D397" s="9"/>
      <c r="G397" s="9"/>
    </row>
    <row r="398" spans="4:7" ht="23.25" customHeight="1" x14ac:dyDescent="0.3">
      <c r="D398" s="9"/>
      <c r="G398" s="9"/>
    </row>
    <row r="399" spans="4:7" ht="23.25" customHeight="1" x14ac:dyDescent="0.3">
      <c r="D399" s="9"/>
      <c r="G399" s="9"/>
    </row>
    <row r="400" spans="4:7" ht="23.25" customHeight="1" x14ac:dyDescent="0.3">
      <c r="D400" s="9"/>
      <c r="G400" s="9"/>
    </row>
    <row r="401" spans="4:7" ht="23.25" customHeight="1" x14ac:dyDescent="0.3">
      <c r="D401" s="9"/>
      <c r="G401" s="9"/>
    </row>
    <row r="402" spans="4:7" ht="23.25" customHeight="1" x14ac:dyDescent="0.3">
      <c r="D402" s="9"/>
      <c r="G402" s="9"/>
    </row>
    <row r="403" spans="4:7" ht="23.25" customHeight="1" x14ac:dyDescent="0.3">
      <c r="D403" s="9"/>
      <c r="G403" s="9"/>
    </row>
    <row r="404" spans="4:7" ht="23.25" customHeight="1" x14ac:dyDescent="0.3">
      <c r="D404" s="9"/>
      <c r="G404" s="9"/>
    </row>
    <row r="405" spans="4:7" ht="23.25" customHeight="1" x14ac:dyDescent="0.3">
      <c r="D405" s="9"/>
      <c r="G405" s="9"/>
    </row>
    <row r="406" spans="4:7" ht="23.25" customHeight="1" x14ac:dyDescent="0.3">
      <c r="D406" s="9"/>
      <c r="G406" s="9"/>
    </row>
    <row r="407" spans="4:7" ht="23.25" customHeight="1" x14ac:dyDescent="0.3">
      <c r="D407" s="9"/>
      <c r="G407" s="9"/>
    </row>
    <row r="408" spans="4:7" ht="23.25" customHeight="1" x14ac:dyDescent="0.3">
      <c r="D408" s="9"/>
      <c r="G408" s="9"/>
    </row>
    <row r="409" spans="4:7" ht="23.25" customHeight="1" x14ac:dyDescent="0.3">
      <c r="D409" s="9"/>
      <c r="G409" s="9"/>
    </row>
    <row r="410" spans="4:7" ht="23.25" customHeight="1" x14ac:dyDescent="0.3">
      <c r="D410" s="9"/>
      <c r="G410" s="9"/>
    </row>
    <row r="411" spans="4:7" ht="23.25" customHeight="1" x14ac:dyDescent="0.3">
      <c r="D411" s="9"/>
      <c r="G411" s="9"/>
    </row>
    <row r="412" spans="4:7" ht="23.25" customHeight="1" x14ac:dyDescent="0.3">
      <c r="D412" s="9"/>
      <c r="G412" s="9"/>
    </row>
    <row r="413" spans="4:7" ht="23.25" customHeight="1" x14ac:dyDescent="0.3">
      <c r="D413" s="9"/>
      <c r="G413" s="9"/>
    </row>
    <row r="414" spans="4:7" ht="23.25" customHeight="1" x14ac:dyDescent="0.3">
      <c r="D414" s="9"/>
      <c r="G414" s="9"/>
    </row>
    <row r="415" spans="4:7" ht="23.25" customHeight="1" x14ac:dyDescent="0.3">
      <c r="D415" s="9"/>
      <c r="G415" s="9"/>
    </row>
    <row r="416" spans="4:7" ht="23.25" customHeight="1" x14ac:dyDescent="0.3">
      <c r="D416" s="9"/>
      <c r="G416" s="9"/>
    </row>
    <row r="417" spans="4:7" ht="23.25" customHeight="1" x14ac:dyDescent="0.3">
      <c r="D417" s="9"/>
      <c r="G417" s="9"/>
    </row>
    <row r="418" spans="4:7" ht="23.25" customHeight="1" x14ac:dyDescent="0.3">
      <c r="D418" s="9"/>
      <c r="G418" s="9"/>
    </row>
    <row r="419" spans="4:7" ht="23.25" customHeight="1" x14ac:dyDescent="0.3">
      <c r="D419" s="9"/>
      <c r="G419" s="9"/>
    </row>
    <row r="420" spans="4:7" ht="23.25" customHeight="1" x14ac:dyDescent="0.3">
      <c r="D420" s="9"/>
      <c r="G420" s="9"/>
    </row>
    <row r="421" spans="4:7" ht="23.25" customHeight="1" x14ac:dyDescent="0.3">
      <c r="D421" s="9"/>
      <c r="G421" s="9"/>
    </row>
    <row r="422" spans="4:7" ht="23.25" customHeight="1" x14ac:dyDescent="0.3">
      <c r="D422" s="9"/>
      <c r="G422" s="9"/>
    </row>
    <row r="423" spans="4:7" ht="23.25" customHeight="1" x14ac:dyDescent="0.3">
      <c r="D423" s="9"/>
      <c r="G423" s="9"/>
    </row>
    <row r="424" spans="4:7" ht="23.25" customHeight="1" x14ac:dyDescent="0.3">
      <c r="D424" s="9"/>
      <c r="G424" s="9"/>
    </row>
    <row r="425" spans="4:7" ht="23.25" customHeight="1" x14ac:dyDescent="0.3">
      <c r="D425" s="9"/>
      <c r="G425" s="9"/>
    </row>
    <row r="426" spans="4:7" ht="23.25" customHeight="1" x14ac:dyDescent="0.3">
      <c r="D426" s="9"/>
      <c r="G426" s="9"/>
    </row>
    <row r="427" spans="4:7" ht="23.25" customHeight="1" x14ac:dyDescent="0.3">
      <c r="D427" s="9"/>
      <c r="G427" s="9"/>
    </row>
    <row r="428" spans="4:7" ht="23.25" customHeight="1" x14ac:dyDescent="0.3">
      <c r="D428" s="9"/>
      <c r="G428" s="9"/>
    </row>
    <row r="429" spans="4:7" ht="23.25" customHeight="1" x14ac:dyDescent="0.3">
      <c r="D429" s="9"/>
      <c r="G429" s="9"/>
    </row>
    <row r="430" spans="4:7" ht="23.25" customHeight="1" x14ac:dyDescent="0.3">
      <c r="D430" s="9"/>
      <c r="G430" s="9"/>
    </row>
    <row r="431" spans="4:7" ht="23.25" customHeight="1" x14ac:dyDescent="0.3">
      <c r="D431" s="9"/>
      <c r="G431" s="9"/>
    </row>
    <row r="432" spans="4:7" ht="23.25" customHeight="1" x14ac:dyDescent="0.3">
      <c r="D432" s="9"/>
      <c r="G432" s="9"/>
    </row>
    <row r="433" spans="4:7" ht="23.25" customHeight="1" x14ac:dyDescent="0.3">
      <c r="D433" s="9"/>
      <c r="G433" s="9"/>
    </row>
    <row r="434" spans="4:7" ht="23.25" customHeight="1" x14ac:dyDescent="0.3">
      <c r="D434" s="9"/>
      <c r="G434" s="9"/>
    </row>
    <row r="435" spans="4:7" ht="23.25" customHeight="1" x14ac:dyDescent="0.3">
      <c r="D435" s="9"/>
      <c r="G435" s="9"/>
    </row>
    <row r="436" spans="4:7" ht="23.25" customHeight="1" x14ac:dyDescent="0.3">
      <c r="D436" s="9"/>
      <c r="G436" s="9"/>
    </row>
    <row r="437" spans="4:7" ht="23.25" customHeight="1" x14ac:dyDescent="0.3">
      <c r="D437" s="9"/>
      <c r="G437" s="9"/>
    </row>
    <row r="438" spans="4:7" ht="23.25" customHeight="1" x14ac:dyDescent="0.3">
      <c r="D438" s="9"/>
      <c r="G438" s="9"/>
    </row>
    <row r="439" spans="4:7" ht="23.25" customHeight="1" x14ac:dyDescent="0.3">
      <c r="D439" s="9"/>
      <c r="G439" s="9"/>
    </row>
    <row r="440" spans="4:7" ht="23.25" customHeight="1" x14ac:dyDescent="0.3">
      <c r="D440" s="9"/>
      <c r="G440" s="9"/>
    </row>
    <row r="441" spans="4:7" ht="23.25" customHeight="1" x14ac:dyDescent="0.3">
      <c r="D441" s="9"/>
      <c r="G441" s="9"/>
    </row>
    <row r="442" spans="4:7" ht="23.25" customHeight="1" x14ac:dyDescent="0.3">
      <c r="D442" s="9"/>
      <c r="G442" s="9"/>
    </row>
    <row r="443" spans="4:7" ht="23.25" customHeight="1" x14ac:dyDescent="0.3">
      <c r="D443" s="9"/>
      <c r="G443" s="9"/>
    </row>
    <row r="444" spans="4:7" ht="23.25" customHeight="1" x14ac:dyDescent="0.3">
      <c r="D444" s="9"/>
      <c r="G444" s="9"/>
    </row>
    <row r="445" spans="4:7" ht="23.25" customHeight="1" x14ac:dyDescent="0.3">
      <c r="D445" s="9"/>
      <c r="G445" s="9"/>
    </row>
    <row r="446" spans="4:7" ht="23.25" customHeight="1" x14ac:dyDescent="0.3">
      <c r="D446" s="9"/>
      <c r="G446" s="9"/>
    </row>
    <row r="447" spans="4:7" ht="23.25" customHeight="1" x14ac:dyDescent="0.3">
      <c r="D447" s="9"/>
      <c r="G447" s="9"/>
    </row>
    <row r="448" spans="4:7" ht="23.25" customHeight="1" x14ac:dyDescent="0.3">
      <c r="D448" s="9"/>
      <c r="G448" s="9"/>
    </row>
    <row r="449" spans="4:7" ht="23.25" customHeight="1" x14ac:dyDescent="0.3">
      <c r="D449" s="9"/>
      <c r="G449" s="9"/>
    </row>
    <row r="450" spans="4:7" ht="23.25" customHeight="1" x14ac:dyDescent="0.3">
      <c r="D450" s="9"/>
      <c r="G450" s="9"/>
    </row>
    <row r="451" spans="4:7" ht="23.25" customHeight="1" x14ac:dyDescent="0.3">
      <c r="D451" s="9"/>
      <c r="G451" s="9"/>
    </row>
    <row r="452" spans="4:7" ht="23.25" customHeight="1" x14ac:dyDescent="0.3">
      <c r="D452" s="9"/>
      <c r="G452" s="9"/>
    </row>
    <row r="453" spans="4:7" ht="23.25" customHeight="1" x14ac:dyDescent="0.3">
      <c r="D453" s="9"/>
      <c r="G453" s="9"/>
    </row>
    <row r="454" spans="4:7" ht="23.25" customHeight="1" x14ac:dyDescent="0.3">
      <c r="D454" s="9"/>
      <c r="G454" s="9"/>
    </row>
    <row r="455" spans="4:7" ht="23.25" customHeight="1" x14ac:dyDescent="0.3">
      <c r="D455" s="9"/>
      <c r="G455" s="9"/>
    </row>
    <row r="456" spans="4:7" ht="23.25" customHeight="1" x14ac:dyDescent="0.3">
      <c r="D456" s="9"/>
      <c r="G456" s="9"/>
    </row>
    <row r="457" spans="4:7" ht="23.25" customHeight="1" x14ac:dyDescent="0.3">
      <c r="D457" s="9"/>
      <c r="G457" s="9"/>
    </row>
    <row r="458" spans="4:7" ht="23.25" customHeight="1" x14ac:dyDescent="0.3">
      <c r="D458" s="9"/>
      <c r="G458" s="9"/>
    </row>
    <row r="459" spans="4:7" ht="23.25" customHeight="1" x14ac:dyDescent="0.3">
      <c r="D459" s="9"/>
      <c r="G459" s="9"/>
    </row>
    <row r="460" spans="4:7" ht="23.25" customHeight="1" x14ac:dyDescent="0.3">
      <c r="D460" s="9"/>
      <c r="G460" s="9"/>
    </row>
    <row r="461" spans="4:7" ht="23.25" customHeight="1" x14ac:dyDescent="0.3">
      <c r="D461" s="9"/>
      <c r="G461" s="9"/>
    </row>
    <row r="462" spans="4:7" ht="23.25" customHeight="1" x14ac:dyDescent="0.3">
      <c r="D462" s="9"/>
      <c r="G462" s="9"/>
    </row>
    <row r="463" spans="4:7" ht="23.25" customHeight="1" x14ac:dyDescent="0.3">
      <c r="D463" s="9"/>
      <c r="G463" s="9"/>
    </row>
    <row r="464" spans="4:7" ht="23.25" customHeight="1" x14ac:dyDescent="0.3">
      <c r="D464" s="9"/>
      <c r="G464" s="9"/>
    </row>
    <row r="465" spans="4:7" ht="23.25" customHeight="1" x14ac:dyDescent="0.3">
      <c r="D465" s="9"/>
      <c r="G465" s="9"/>
    </row>
    <row r="466" spans="4:7" ht="23.25" customHeight="1" x14ac:dyDescent="0.3">
      <c r="D466" s="9"/>
      <c r="G466" s="9"/>
    </row>
    <row r="467" spans="4:7" ht="23.25" customHeight="1" x14ac:dyDescent="0.3">
      <c r="D467" s="9"/>
      <c r="G467" s="9"/>
    </row>
    <row r="468" spans="4:7" ht="23.25" customHeight="1" x14ac:dyDescent="0.3">
      <c r="D468" s="9"/>
      <c r="G468" s="9"/>
    </row>
    <row r="469" spans="4:7" ht="23.25" customHeight="1" x14ac:dyDescent="0.3">
      <c r="D469" s="9"/>
      <c r="G469" s="9"/>
    </row>
    <row r="470" spans="4:7" ht="23.25" customHeight="1" x14ac:dyDescent="0.3">
      <c r="D470" s="9"/>
      <c r="G470" s="9"/>
    </row>
    <row r="471" spans="4:7" ht="23.25" customHeight="1" x14ac:dyDescent="0.3">
      <c r="D471" s="9"/>
      <c r="G471" s="9"/>
    </row>
    <row r="472" spans="4:7" ht="23.25" customHeight="1" x14ac:dyDescent="0.3">
      <c r="D472" s="9"/>
      <c r="G472" s="9"/>
    </row>
    <row r="473" spans="4:7" ht="23.25" customHeight="1" x14ac:dyDescent="0.3">
      <c r="D473" s="9"/>
      <c r="G473" s="9"/>
    </row>
    <row r="474" spans="4:7" ht="23.25" customHeight="1" x14ac:dyDescent="0.3">
      <c r="D474" s="9"/>
      <c r="G474" s="9"/>
    </row>
    <row r="475" spans="4:7" ht="23.25" customHeight="1" x14ac:dyDescent="0.3">
      <c r="D475" s="9"/>
      <c r="G475" s="9"/>
    </row>
    <row r="476" spans="4:7" ht="23.25" customHeight="1" x14ac:dyDescent="0.3">
      <c r="D476" s="9"/>
      <c r="G476" s="9"/>
    </row>
    <row r="477" spans="4:7" ht="23.25" customHeight="1" x14ac:dyDescent="0.3">
      <c r="D477" s="9"/>
      <c r="G477" s="9"/>
    </row>
    <row r="478" spans="4:7" ht="23.25" customHeight="1" x14ac:dyDescent="0.3">
      <c r="D478" s="9"/>
      <c r="G478" s="9"/>
    </row>
    <row r="479" spans="4:7" ht="23.25" customHeight="1" x14ac:dyDescent="0.3">
      <c r="D479" s="9"/>
      <c r="G479" s="9"/>
    </row>
    <row r="480" spans="4:7" ht="23.25" customHeight="1" x14ac:dyDescent="0.3">
      <c r="D480" s="9"/>
      <c r="G480" s="9"/>
    </row>
    <row r="481" spans="4:7" ht="23.25" customHeight="1" x14ac:dyDescent="0.3">
      <c r="D481" s="9"/>
      <c r="G481" s="9"/>
    </row>
    <row r="482" spans="4:7" ht="23.25" customHeight="1" x14ac:dyDescent="0.3">
      <c r="D482" s="9"/>
      <c r="G482" s="9"/>
    </row>
    <row r="483" spans="4:7" ht="23.25" customHeight="1" x14ac:dyDescent="0.3">
      <c r="D483" s="9"/>
      <c r="G483" s="9"/>
    </row>
    <row r="484" spans="4:7" ht="23.25" customHeight="1" x14ac:dyDescent="0.3">
      <c r="D484" s="9"/>
      <c r="G484" s="9"/>
    </row>
    <row r="485" spans="4:7" ht="23.25" customHeight="1" x14ac:dyDescent="0.3">
      <c r="D485" s="9"/>
      <c r="G485" s="9"/>
    </row>
    <row r="486" spans="4:7" ht="23.25" customHeight="1" x14ac:dyDescent="0.3">
      <c r="D486" s="9"/>
      <c r="G486" s="9"/>
    </row>
    <row r="487" spans="4:7" ht="23.25" customHeight="1" x14ac:dyDescent="0.3">
      <c r="D487" s="9"/>
      <c r="G487" s="9"/>
    </row>
    <row r="488" spans="4:7" ht="23.25" customHeight="1" x14ac:dyDescent="0.3">
      <c r="D488" s="9"/>
      <c r="G488" s="9"/>
    </row>
    <row r="489" spans="4:7" ht="23.25" customHeight="1" x14ac:dyDescent="0.3">
      <c r="D489" s="9"/>
      <c r="G489" s="9"/>
    </row>
    <row r="490" spans="4:7" ht="23.25" customHeight="1" x14ac:dyDescent="0.3">
      <c r="D490" s="9"/>
      <c r="G490" s="9"/>
    </row>
    <row r="491" spans="4:7" ht="23.25" customHeight="1" x14ac:dyDescent="0.3">
      <c r="D491" s="9"/>
      <c r="G491" s="9"/>
    </row>
    <row r="492" spans="4:7" ht="23.25" customHeight="1" x14ac:dyDescent="0.3">
      <c r="D492" s="9"/>
      <c r="G492" s="9"/>
    </row>
    <row r="493" spans="4:7" ht="23.25" customHeight="1" x14ac:dyDescent="0.3">
      <c r="D493" s="9"/>
      <c r="G493" s="9"/>
    </row>
    <row r="494" spans="4:7" ht="23.25" customHeight="1" x14ac:dyDescent="0.3">
      <c r="D494" s="9"/>
      <c r="G494" s="9"/>
    </row>
    <row r="495" spans="4:7" ht="23.25" customHeight="1" x14ac:dyDescent="0.3">
      <c r="D495" s="9"/>
      <c r="G495" s="9"/>
    </row>
    <row r="496" spans="4:7" ht="23.25" customHeight="1" x14ac:dyDescent="0.3">
      <c r="D496" s="9"/>
      <c r="G496" s="9"/>
    </row>
    <row r="497" spans="4:7" ht="23.25" customHeight="1" x14ac:dyDescent="0.3">
      <c r="D497" s="9"/>
      <c r="G497" s="9"/>
    </row>
    <row r="498" spans="4:7" ht="23.25" customHeight="1" x14ac:dyDescent="0.3">
      <c r="D498" s="9"/>
      <c r="G498" s="9"/>
    </row>
    <row r="499" spans="4:7" ht="23.25" customHeight="1" x14ac:dyDescent="0.3">
      <c r="D499" s="9"/>
      <c r="G499" s="9"/>
    </row>
    <row r="500" spans="4:7" ht="23.25" customHeight="1" x14ac:dyDescent="0.3">
      <c r="D500" s="9"/>
      <c r="G500" s="9"/>
    </row>
    <row r="501" spans="4:7" ht="23.25" customHeight="1" x14ac:dyDescent="0.3">
      <c r="D501" s="9"/>
      <c r="G501" s="9"/>
    </row>
    <row r="502" spans="4:7" ht="23.25" customHeight="1" x14ac:dyDescent="0.3">
      <c r="D502" s="9"/>
      <c r="G502" s="9"/>
    </row>
    <row r="503" spans="4:7" ht="23.25" customHeight="1" x14ac:dyDescent="0.3">
      <c r="D503" s="9"/>
      <c r="G503" s="9"/>
    </row>
    <row r="504" spans="4:7" ht="23.25" customHeight="1" x14ac:dyDescent="0.3">
      <c r="D504" s="9"/>
      <c r="G504" s="9"/>
    </row>
    <row r="505" spans="4:7" ht="23.25" customHeight="1" x14ac:dyDescent="0.3">
      <c r="D505" s="9"/>
      <c r="G505" s="9"/>
    </row>
    <row r="506" spans="4:7" ht="23.25" customHeight="1" x14ac:dyDescent="0.3">
      <c r="D506" s="9"/>
      <c r="G506" s="9"/>
    </row>
    <row r="507" spans="4:7" ht="23.25" customHeight="1" x14ac:dyDescent="0.3">
      <c r="D507" s="9"/>
      <c r="G507" s="9"/>
    </row>
    <row r="508" spans="4:7" ht="23.25" customHeight="1" x14ac:dyDescent="0.3">
      <c r="D508" s="9"/>
      <c r="G508" s="9"/>
    </row>
    <row r="509" spans="4:7" ht="23.25" customHeight="1" x14ac:dyDescent="0.3">
      <c r="D509" s="9"/>
      <c r="G509" s="9"/>
    </row>
    <row r="510" spans="4:7" ht="23.25" customHeight="1" x14ac:dyDescent="0.3">
      <c r="D510" s="9"/>
      <c r="G510" s="9"/>
    </row>
    <row r="511" spans="4:7" ht="23.25" customHeight="1" x14ac:dyDescent="0.3">
      <c r="D511" s="9"/>
      <c r="G511" s="9"/>
    </row>
    <row r="512" spans="4:7" ht="23.25" customHeight="1" x14ac:dyDescent="0.3">
      <c r="D512" s="9"/>
      <c r="G512" s="9"/>
    </row>
    <row r="513" spans="4:7" ht="23.25" customHeight="1" x14ac:dyDescent="0.3">
      <c r="D513" s="9"/>
      <c r="G513" s="9"/>
    </row>
    <row r="514" spans="4:7" ht="23.25" customHeight="1" x14ac:dyDescent="0.3">
      <c r="D514" s="9"/>
      <c r="G514" s="9"/>
    </row>
    <row r="515" spans="4:7" ht="23.25" customHeight="1" x14ac:dyDescent="0.3">
      <c r="D515" s="9"/>
      <c r="G515" s="9"/>
    </row>
    <row r="516" spans="4:7" ht="23.25" customHeight="1" x14ac:dyDescent="0.3">
      <c r="D516" s="9"/>
      <c r="G516" s="9"/>
    </row>
    <row r="517" spans="4:7" ht="23.25" customHeight="1" x14ac:dyDescent="0.3">
      <c r="D517" s="9"/>
      <c r="G517" s="9"/>
    </row>
    <row r="518" spans="4:7" ht="23.25" customHeight="1" x14ac:dyDescent="0.3">
      <c r="D518" s="9"/>
      <c r="G518" s="9"/>
    </row>
    <row r="519" spans="4:7" ht="23.25" customHeight="1" x14ac:dyDescent="0.3">
      <c r="D519" s="9"/>
      <c r="G519" s="9"/>
    </row>
    <row r="520" spans="4:7" ht="23.25" customHeight="1" x14ac:dyDescent="0.3">
      <c r="D520" s="9"/>
      <c r="G520" s="9"/>
    </row>
    <row r="521" spans="4:7" ht="23.25" customHeight="1" x14ac:dyDescent="0.3">
      <c r="D521" s="9"/>
      <c r="G521" s="9"/>
    </row>
    <row r="522" spans="4:7" ht="23.25" customHeight="1" x14ac:dyDescent="0.3">
      <c r="D522" s="9"/>
      <c r="G522" s="9"/>
    </row>
    <row r="523" spans="4:7" ht="23.25" customHeight="1" x14ac:dyDescent="0.3">
      <c r="D523" s="9"/>
      <c r="G523" s="9"/>
    </row>
    <row r="524" spans="4:7" ht="23.25" customHeight="1" x14ac:dyDescent="0.3">
      <c r="D524" s="9"/>
      <c r="G524" s="9"/>
    </row>
    <row r="525" spans="4:7" ht="23.25" customHeight="1" x14ac:dyDescent="0.3">
      <c r="D525" s="9"/>
      <c r="G525" s="9"/>
    </row>
    <row r="526" spans="4:7" ht="23.25" customHeight="1" x14ac:dyDescent="0.3">
      <c r="D526" s="9"/>
      <c r="G526" s="9"/>
    </row>
    <row r="527" spans="4:7" ht="23.25" customHeight="1" x14ac:dyDescent="0.3">
      <c r="D527" s="9"/>
      <c r="G527" s="9"/>
    </row>
    <row r="528" spans="4:7" ht="23.25" customHeight="1" x14ac:dyDescent="0.3">
      <c r="D528" s="9"/>
      <c r="G528" s="9"/>
    </row>
    <row r="529" spans="4:7" ht="23.25" customHeight="1" x14ac:dyDescent="0.3">
      <c r="D529" s="9"/>
      <c r="G529" s="9"/>
    </row>
    <row r="530" spans="4:7" ht="23.25" customHeight="1" x14ac:dyDescent="0.3">
      <c r="D530" s="9"/>
      <c r="G530" s="9"/>
    </row>
    <row r="531" spans="4:7" ht="23.25" customHeight="1" x14ac:dyDescent="0.3">
      <c r="D531" s="9"/>
      <c r="G531" s="9"/>
    </row>
    <row r="532" spans="4:7" ht="23.25" customHeight="1" x14ac:dyDescent="0.3">
      <c r="D532" s="9"/>
      <c r="G532" s="9"/>
    </row>
    <row r="533" spans="4:7" ht="23.25" customHeight="1" x14ac:dyDescent="0.3">
      <c r="D533" s="9"/>
      <c r="G533" s="9"/>
    </row>
    <row r="534" spans="4:7" ht="23.25" customHeight="1" x14ac:dyDescent="0.3">
      <c r="D534" s="9"/>
      <c r="G534" s="9"/>
    </row>
    <row r="535" spans="4:7" ht="23.25" customHeight="1" x14ac:dyDescent="0.3">
      <c r="D535" s="9"/>
      <c r="G535" s="9"/>
    </row>
    <row r="536" spans="4:7" ht="23.25" customHeight="1" x14ac:dyDescent="0.3">
      <c r="D536" s="9"/>
      <c r="G536" s="9"/>
    </row>
    <row r="537" spans="4:7" ht="23.25" customHeight="1" x14ac:dyDescent="0.3">
      <c r="D537" s="9"/>
      <c r="G537" s="9"/>
    </row>
    <row r="538" spans="4:7" ht="23.25" customHeight="1" x14ac:dyDescent="0.3">
      <c r="D538" s="9"/>
      <c r="G538" s="9"/>
    </row>
    <row r="539" spans="4:7" ht="23.25" customHeight="1" x14ac:dyDescent="0.3">
      <c r="D539" s="9"/>
      <c r="G539" s="9"/>
    </row>
    <row r="540" spans="4:7" ht="23.25" customHeight="1" x14ac:dyDescent="0.3">
      <c r="D540" s="9"/>
      <c r="G540" s="9"/>
    </row>
    <row r="541" spans="4:7" ht="23.25" customHeight="1" x14ac:dyDescent="0.3">
      <c r="D541" s="9"/>
      <c r="G541" s="9"/>
    </row>
    <row r="542" spans="4:7" ht="23.25" customHeight="1" x14ac:dyDescent="0.3">
      <c r="D542" s="9"/>
      <c r="G542" s="9"/>
    </row>
    <row r="543" spans="4:7" ht="23.25" customHeight="1" x14ac:dyDescent="0.3">
      <c r="D543" s="9"/>
      <c r="G543" s="9"/>
    </row>
    <row r="544" spans="4:7" ht="23.25" customHeight="1" x14ac:dyDescent="0.3">
      <c r="D544" s="9"/>
      <c r="G544" s="9"/>
    </row>
    <row r="545" spans="4:7" ht="23.25" customHeight="1" x14ac:dyDescent="0.3">
      <c r="D545" s="9"/>
      <c r="G545" s="9"/>
    </row>
    <row r="546" spans="4:7" ht="23.25" customHeight="1" x14ac:dyDescent="0.3">
      <c r="D546" s="9"/>
      <c r="G546" s="9"/>
    </row>
    <row r="547" spans="4:7" ht="23.25" customHeight="1" x14ac:dyDescent="0.3">
      <c r="D547" s="9"/>
      <c r="G547" s="9"/>
    </row>
    <row r="548" spans="4:7" ht="23.25" customHeight="1" x14ac:dyDescent="0.3">
      <c r="D548" s="9"/>
      <c r="G548" s="9"/>
    </row>
    <row r="549" spans="4:7" ht="23.25" customHeight="1" x14ac:dyDescent="0.3">
      <c r="D549" s="9"/>
      <c r="G549" s="9"/>
    </row>
    <row r="550" spans="4:7" ht="23.25" customHeight="1" x14ac:dyDescent="0.3">
      <c r="D550" s="9"/>
      <c r="G550" s="9"/>
    </row>
    <row r="551" spans="4:7" ht="23.25" customHeight="1" x14ac:dyDescent="0.3">
      <c r="D551" s="9"/>
      <c r="G551" s="9"/>
    </row>
    <row r="552" spans="4:7" ht="23.25" customHeight="1" x14ac:dyDescent="0.3">
      <c r="D552" s="9"/>
      <c r="G552" s="9"/>
    </row>
    <row r="553" spans="4:7" ht="23.25" customHeight="1" x14ac:dyDescent="0.3">
      <c r="D553" s="9"/>
      <c r="G553" s="9"/>
    </row>
    <row r="554" spans="4:7" ht="23.25" customHeight="1" x14ac:dyDescent="0.3">
      <c r="D554" s="9"/>
      <c r="G554" s="9"/>
    </row>
    <row r="555" spans="4:7" ht="23.25" customHeight="1" x14ac:dyDescent="0.3">
      <c r="D555" s="9"/>
      <c r="G555" s="9"/>
    </row>
    <row r="556" spans="4:7" ht="23.25" customHeight="1" x14ac:dyDescent="0.3">
      <c r="D556" s="9"/>
      <c r="G556" s="9"/>
    </row>
    <row r="557" spans="4:7" ht="23.25" customHeight="1" x14ac:dyDescent="0.3">
      <c r="D557" s="9"/>
      <c r="G557" s="9"/>
    </row>
    <row r="558" spans="4:7" ht="23.25" customHeight="1" x14ac:dyDescent="0.3">
      <c r="D558" s="9"/>
      <c r="G558" s="9"/>
    </row>
    <row r="559" spans="4:7" ht="23.25" customHeight="1" x14ac:dyDescent="0.3">
      <c r="D559" s="9"/>
      <c r="G559" s="9"/>
    </row>
    <row r="560" spans="4:7" ht="23.25" customHeight="1" x14ac:dyDescent="0.3">
      <c r="D560" s="9"/>
      <c r="G560" s="9"/>
    </row>
    <row r="561" spans="4:7" ht="23.25" customHeight="1" x14ac:dyDescent="0.3">
      <c r="D561" s="9"/>
      <c r="G561" s="9"/>
    </row>
    <row r="562" spans="4:7" ht="23.25" customHeight="1" x14ac:dyDescent="0.3">
      <c r="D562" s="9"/>
      <c r="G562" s="9"/>
    </row>
    <row r="563" spans="4:7" ht="23.25" customHeight="1" x14ac:dyDescent="0.3">
      <c r="D563" s="9"/>
      <c r="G563" s="9"/>
    </row>
    <row r="564" spans="4:7" ht="23.25" customHeight="1" x14ac:dyDescent="0.3">
      <c r="D564" s="9"/>
      <c r="G564" s="9"/>
    </row>
    <row r="565" spans="4:7" ht="23.25" customHeight="1" x14ac:dyDescent="0.3">
      <c r="D565" s="9"/>
      <c r="G565" s="9"/>
    </row>
    <row r="566" spans="4:7" ht="23.25" customHeight="1" x14ac:dyDescent="0.3">
      <c r="D566" s="9"/>
      <c r="G566" s="9"/>
    </row>
    <row r="567" spans="4:7" ht="23.25" customHeight="1" x14ac:dyDescent="0.3">
      <c r="D567" s="9"/>
      <c r="G567" s="9"/>
    </row>
    <row r="568" spans="4:7" ht="23.25" customHeight="1" x14ac:dyDescent="0.3">
      <c r="D568" s="9"/>
      <c r="G568" s="9"/>
    </row>
    <row r="569" spans="4:7" ht="23.25" customHeight="1" x14ac:dyDescent="0.3">
      <c r="D569" s="9"/>
      <c r="G569" s="9"/>
    </row>
    <row r="570" spans="4:7" ht="23.25" customHeight="1" x14ac:dyDescent="0.3">
      <c r="D570" s="9"/>
      <c r="G570" s="9"/>
    </row>
    <row r="571" spans="4:7" ht="23.25" customHeight="1" x14ac:dyDescent="0.3">
      <c r="D571" s="9"/>
      <c r="G571" s="9"/>
    </row>
    <row r="572" spans="4:7" ht="23.25" customHeight="1" x14ac:dyDescent="0.3">
      <c r="D572" s="9"/>
      <c r="G572" s="9"/>
    </row>
    <row r="573" spans="4:7" ht="23.25" customHeight="1" x14ac:dyDescent="0.3">
      <c r="D573" s="9"/>
      <c r="G573" s="9"/>
    </row>
    <row r="574" spans="4:7" ht="23.25" customHeight="1" x14ac:dyDescent="0.3">
      <c r="D574" s="9"/>
      <c r="G574" s="9"/>
    </row>
    <row r="575" spans="4:7" ht="23.25" customHeight="1" x14ac:dyDescent="0.3">
      <c r="D575" s="9"/>
      <c r="G575" s="9"/>
    </row>
    <row r="576" spans="4:7" ht="23.25" customHeight="1" x14ac:dyDescent="0.3">
      <c r="D576" s="9"/>
      <c r="G576" s="9"/>
    </row>
    <row r="577" spans="4:7" ht="23.25" customHeight="1" x14ac:dyDescent="0.3">
      <c r="D577" s="9"/>
      <c r="G577" s="9"/>
    </row>
    <row r="578" spans="4:7" ht="23.25" customHeight="1" x14ac:dyDescent="0.3">
      <c r="D578" s="9"/>
      <c r="G578" s="9"/>
    </row>
    <row r="579" spans="4:7" ht="23.25" customHeight="1" x14ac:dyDescent="0.3">
      <c r="D579" s="9"/>
      <c r="G579" s="9"/>
    </row>
    <row r="580" spans="4:7" ht="23.25" customHeight="1" x14ac:dyDescent="0.3">
      <c r="D580" s="9"/>
      <c r="G580" s="9"/>
    </row>
    <row r="581" spans="4:7" ht="23.25" customHeight="1" x14ac:dyDescent="0.3">
      <c r="D581" s="9"/>
      <c r="G581" s="9"/>
    </row>
    <row r="582" spans="4:7" ht="23.25" customHeight="1" x14ac:dyDescent="0.3">
      <c r="D582" s="9"/>
      <c r="G582" s="9"/>
    </row>
    <row r="583" spans="4:7" ht="23.25" customHeight="1" x14ac:dyDescent="0.3">
      <c r="D583" s="9"/>
      <c r="G583" s="9"/>
    </row>
    <row r="584" spans="4:7" ht="23.25" customHeight="1" x14ac:dyDescent="0.3">
      <c r="D584" s="9"/>
      <c r="G584" s="9"/>
    </row>
    <row r="585" spans="4:7" ht="23.25" customHeight="1" x14ac:dyDescent="0.3">
      <c r="D585" s="9"/>
      <c r="G585" s="9"/>
    </row>
    <row r="586" spans="4:7" ht="23.25" customHeight="1" x14ac:dyDescent="0.3">
      <c r="D586" s="9"/>
      <c r="G586" s="9"/>
    </row>
    <row r="587" spans="4:7" ht="23.25" customHeight="1" x14ac:dyDescent="0.3">
      <c r="D587" s="9"/>
      <c r="G587" s="9"/>
    </row>
    <row r="588" spans="4:7" ht="23.25" customHeight="1" x14ac:dyDescent="0.3">
      <c r="D588" s="9"/>
      <c r="G588" s="9"/>
    </row>
    <row r="589" spans="4:7" ht="23.25" customHeight="1" x14ac:dyDescent="0.3">
      <c r="D589" s="9"/>
      <c r="G589" s="9"/>
    </row>
    <row r="590" spans="4:7" ht="23.25" customHeight="1" x14ac:dyDescent="0.3">
      <c r="D590" s="9"/>
      <c r="G590" s="9"/>
    </row>
    <row r="591" spans="4:7" ht="23.25" customHeight="1" x14ac:dyDescent="0.3">
      <c r="D591" s="9"/>
      <c r="G591" s="9"/>
    </row>
    <row r="592" spans="4:7" ht="23.25" customHeight="1" x14ac:dyDescent="0.3">
      <c r="D592" s="9"/>
      <c r="G592" s="9"/>
    </row>
    <row r="593" spans="4:7" ht="23.25" customHeight="1" x14ac:dyDescent="0.3">
      <c r="D593" s="9"/>
      <c r="G593" s="9"/>
    </row>
    <row r="594" spans="4:7" ht="23.25" customHeight="1" x14ac:dyDescent="0.3">
      <c r="D594" s="9"/>
      <c r="G594" s="9"/>
    </row>
    <row r="595" spans="4:7" ht="23.25" customHeight="1" x14ac:dyDescent="0.3">
      <c r="D595" s="9"/>
      <c r="G595" s="9"/>
    </row>
    <row r="596" spans="4:7" ht="23.25" customHeight="1" x14ac:dyDescent="0.3">
      <c r="D596" s="9"/>
      <c r="G596" s="9"/>
    </row>
    <row r="597" spans="4:7" ht="23.25" customHeight="1" x14ac:dyDescent="0.3">
      <c r="D597" s="9"/>
      <c r="G597" s="9"/>
    </row>
    <row r="598" spans="4:7" ht="23.25" customHeight="1" x14ac:dyDescent="0.3">
      <c r="D598" s="9"/>
      <c r="G598" s="9"/>
    </row>
    <row r="599" spans="4:7" ht="23.25" customHeight="1" x14ac:dyDescent="0.3">
      <c r="D599" s="9"/>
      <c r="G599" s="9"/>
    </row>
    <row r="600" spans="4:7" ht="23.25" customHeight="1" x14ac:dyDescent="0.3">
      <c r="D600" s="9"/>
      <c r="G600" s="9"/>
    </row>
    <row r="601" spans="4:7" ht="23.25" customHeight="1" x14ac:dyDescent="0.3">
      <c r="D601" s="9"/>
      <c r="G601" s="9"/>
    </row>
    <row r="602" spans="4:7" ht="23.25" customHeight="1" x14ac:dyDescent="0.3">
      <c r="D602" s="9"/>
      <c r="G602" s="9"/>
    </row>
    <row r="603" spans="4:7" ht="23.25" customHeight="1" x14ac:dyDescent="0.3">
      <c r="D603" s="9"/>
      <c r="G603" s="9"/>
    </row>
    <row r="604" spans="4:7" ht="23.25" customHeight="1" x14ac:dyDescent="0.3">
      <c r="D604" s="9"/>
      <c r="G604" s="9"/>
    </row>
    <row r="605" spans="4:7" ht="23.25" customHeight="1" x14ac:dyDescent="0.3">
      <c r="D605" s="9"/>
      <c r="G605" s="9"/>
    </row>
    <row r="606" spans="4:7" ht="23.25" customHeight="1" x14ac:dyDescent="0.3">
      <c r="D606" s="9"/>
      <c r="G606" s="9"/>
    </row>
    <row r="607" spans="4:7" ht="23.25" customHeight="1" x14ac:dyDescent="0.3">
      <c r="D607" s="9"/>
      <c r="G607" s="9"/>
    </row>
    <row r="608" spans="4:7" ht="23.25" customHeight="1" x14ac:dyDescent="0.3">
      <c r="D608" s="9"/>
      <c r="G608" s="9"/>
    </row>
    <row r="609" spans="4:7" ht="23.25" customHeight="1" x14ac:dyDescent="0.3">
      <c r="D609" s="9"/>
      <c r="G609" s="9"/>
    </row>
    <row r="610" spans="4:7" ht="23.25" customHeight="1" x14ac:dyDescent="0.3">
      <c r="D610" s="9"/>
      <c r="G610" s="9"/>
    </row>
    <row r="611" spans="4:7" ht="23.25" customHeight="1" x14ac:dyDescent="0.3">
      <c r="D611" s="9"/>
      <c r="G611" s="9"/>
    </row>
    <row r="612" spans="4:7" ht="23.25" customHeight="1" x14ac:dyDescent="0.3">
      <c r="D612" s="9"/>
      <c r="G612" s="9"/>
    </row>
    <row r="613" spans="4:7" ht="23.25" customHeight="1" x14ac:dyDescent="0.3">
      <c r="D613" s="9"/>
      <c r="G613" s="9"/>
    </row>
    <row r="614" spans="4:7" ht="23.25" customHeight="1" x14ac:dyDescent="0.3">
      <c r="D614" s="9"/>
      <c r="G614" s="9"/>
    </row>
    <row r="615" spans="4:7" ht="23.25" customHeight="1" x14ac:dyDescent="0.3">
      <c r="D615" s="9"/>
      <c r="G615" s="9"/>
    </row>
    <row r="616" spans="4:7" ht="23.25" customHeight="1" x14ac:dyDescent="0.3">
      <c r="D616" s="9"/>
      <c r="G616" s="9"/>
    </row>
    <row r="617" spans="4:7" ht="23.25" customHeight="1" x14ac:dyDescent="0.3">
      <c r="D617" s="9"/>
      <c r="G617" s="9"/>
    </row>
    <row r="618" spans="4:7" ht="23.25" customHeight="1" x14ac:dyDescent="0.3">
      <c r="D618" s="9"/>
      <c r="G618" s="9"/>
    </row>
    <row r="619" spans="4:7" ht="23.25" customHeight="1" x14ac:dyDescent="0.3">
      <c r="D619" s="9"/>
      <c r="G619" s="9"/>
    </row>
    <row r="620" spans="4:7" ht="23.25" customHeight="1" x14ac:dyDescent="0.3">
      <c r="D620" s="9"/>
      <c r="G620" s="9"/>
    </row>
    <row r="621" spans="4:7" ht="23.25" customHeight="1" x14ac:dyDescent="0.3">
      <c r="D621" s="9"/>
      <c r="G621" s="9"/>
    </row>
    <row r="622" spans="4:7" ht="23.25" customHeight="1" x14ac:dyDescent="0.3">
      <c r="D622" s="9"/>
      <c r="G622" s="9"/>
    </row>
    <row r="623" spans="4:7" ht="23.25" customHeight="1" x14ac:dyDescent="0.3">
      <c r="D623" s="9"/>
      <c r="G623" s="9"/>
    </row>
    <row r="624" spans="4:7" ht="23.25" customHeight="1" x14ac:dyDescent="0.3">
      <c r="D624" s="9"/>
      <c r="G624" s="9"/>
    </row>
    <row r="625" spans="4:7" ht="23.25" customHeight="1" x14ac:dyDescent="0.3">
      <c r="D625" s="9"/>
      <c r="G625" s="9"/>
    </row>
    <row r="626" spans="4:7" ht="23.25" customHeight="1" x14ac:dyDescent="0.3">
      <c r="D626" s="9"/>
      <c r="G626" s="9"/>
    </row>
    <row r="627" spans="4:7" ht="23.25" customHeight="1" x14ac:dyDescent="0.3">
      <c r="D627" s="9"/>
      <c r="G627" s="9"/>
    </row>
    <row r="628" spans="4:7" ht="23.25" customHeight="1" x14ac:dyDescent="0.3">
      <c r="D628" s="9"/>
      <c r="G628" s="9"/>
    </row>
    <row r="629" spans="4:7" ht="23.25" customHeight="1" x14ac:dyDescent="0.3">
      <c r="D629" s="9"/>
      <c r="G629" s="9"/>
    </row>
    <row r="630" spans="4:7" ht="23.25" customHeight="1" x14ac:dyDescent="0.3">
      <c r="D630" s="9"/>
      <c r="G630" s="9"/>
    </row>
    <row r="631" spans="4:7" ht="23.25" customHeight="1" x14ac:dyDescent="0.3">
      <c r="D631" s="9"/>
      <c r="G631" s="9"/>
    </row>
    <row r="632" spans="4:7" ht="23.25" customHeight="1" x14ac:dyDescent="0.3">
      <c r="D632" s="9"/>
      <c r="G632" s="9"/>
    </row>
    <row r="633" spans="4:7" ht="23.25" customHeight="1" x14ac:dyDescent="0.3">
      <c r="D633" s="9"/>
      <c r="G633" s="9"/>
    </row>
    <row r="634" spans="4:7" ht="23.25" customHeight="1" x14ac:dyDescent="0.3">
      <c r="D634" s="9"/>
      <c r="G634" s="9"/>
    </row>
    <row r="635" spans="4:7" ht="23.25" customHeight="1" x14ac:dyDescent="0.3">
      <c r="D635" s="9"/>
      <c r="G635" s="9"/>
    </row>
    <row r="636" spans="4:7" ht="23.25" customHeight="1" x14ac:dyDescent="0.3">
      <c r="D636" s="9"/>
      <c r="G636" s="9"/>
    </row>
    <row r="637" spans="4:7" ht="23.25" customHeight="1" x14ac:dyDescent="0.3">
      <c r="D637" s="9"/>
      <c r="G637" s="9"/>
    </row>
    <row r="638" spans="4:7" ht="23.25" customHeight="1" x14ac:dyDescent="0.3">
      <c r="D638" s="9"/>
      <c r="G638" s="9"/>
    </row>
    <row r="639" spans="4:7" ht="23.25" customHeight="1" x14ac:dyDescent="0.3">
      <c r="D639" s="9"/>
      <c r="G639" s="9"/>
    </row>
    <row r="640" spans="4:7" ht="23.25" customHeight="1" x14ac:dyDescent="0.3">
      <c r="D640" s="9"/>
      <c r="G640" s="9"/>
    </row>
    <row r="641" spans="4:7" ht="23.25" customHeight="1" x14ac:dyDescent="0.3">
      <c r="D641" s="9"/>
      <c r="G641" s="9"/>
    </row>
    <row r="642" spans="4:7" ht="23.25" customHeight="1" x14ac:dyDescent="0.3">
      <c r="D642" s="9"/>
      <c r="G642" s="9"/>
    </row>
    <row r="643" spans="4:7" ht="23.25" customHeight="1" x14ac:dyDescent="0.3">
      <c r="D643" s="9"/>
      <c r="G643" s="9"/>
    </row>
    <row r="644" spans="4:7" ht="23.25" customHeight="1" x14ac:dyDescent="0.3">
      <c r="D644" s="9"/>
      <c r="G644" s="9"/>
    </row>
    <row r="645" spans="4:7" ht="23.25" customHeight="1" x14ac:dyDescent="0.3">
      <c r="D645" s="9"/>
      <c r="G645" s="9"/>
    </row>
    <row r="646" spans="4:7" ht="23.25" customHeight="1" x14ac:dyDescent="0.3">
      <c r="D646" s="9"/>
      <c r="G646" s="9"/>
    </row>
    <row r="647" spans="4:7" ht="23.25" customHeight="1" x14ac:dyDescent="0.3">
      <c r="D647" s="9"/>
      <c r="G647" s="9"/>
    </row>
    <row r="648" spans="4:7" ht="23.25" customHeight="1" x14ac:dyDescent="0.3">
      <c r="D648" s="9"/>
      <c r="G648" s="9"/>
    </row>
    <row r="649" spans="4:7" ht="23.25" customHeight="1" x14ac:dyDescent="0.3">
      <c r="D649" s="9"/>
      <c r="G649" s="9"/>
    </row>
    <row r="650" spans="4:7" ht="23.25" customHeight="1" x14ac:dyDescent="0.3">
      <c r="D650" s="9"/>
      <c r="G650" s="9"/>
    </row>
    <row r="651" spans="4:7" ht="23.25" customHeight="1" x14ac:dyDescent="0.3">
      <c r="D651" s="9"/>
      <c r="G651" s="9"/>
    </row>
    <row r="652" spans="4:7" ht="23.25" customHeight="1" x14ac:dyDescent="0.3">
      <c r="D652" s="9"/>
      <c r="G652" s="9"/>
    </row>
    <row r="653" spans="4:7" ht="23.25" customHeight="1" x14ac:dyDescent="0.3">
      <c r="D653" s="9"/>
      <c r="G653" s="9"/>
    </row>
    <row r="654" spans="4:7" ht="23.25" customHeight="1" x14ac:dyDescent="0.3">
      <c r="D654" s="9"/>
      <c r="G654" s="9"/>
    </row>
    <row r="655" spans="4:7" ht="23.25" customHeight="1" x14ac:dyDescent="0.3">
      <c r="D655" s="9"/>
      <c r="G655" s="9"/>
    </row>
    <row r="656" spans="4:7" ht="23.25" customHeight="1" x14ac:dyDescent="0.3">
      <c r="D656" s="9"/>
      <c r="G656" s="9"/>
    </row>
    <row r="657" spans="4:7" ht="23.25" customHeight="1" x14ac:dyDescent="0.3">
      <c r="D657" s="9"/>
      <c r="G657" s="9"/>
    </row>
    <row r="658" spans="4:7" ht="23.25" customHeight="1" x14ac:dyDescent="0.3">
      <c r="D658" s="9"/>
      <c r="G658" s="9"/>
    </row>
    <row r="659" spans="4:7" ht="23.25" customHeight="1" x14ac:dyDescent="0.3">
      <c r="D659" s="9"/>
      <c r="G659" s="9"/>
    </row>
    <row r="660" spans="4:7" ht="23.25" customHeight="1" x14ac:dyDescent="0.3">
      <c r="D660" s="9"/>
      <c r="G660" s="9"/>
    </row>
    <row r="661" spans="4:7" ht="23.25" customHeight="1" x14ac:dyDescent="0.3">
      <c r="D661" s="9"/>
      <c r="G661" s="9"/>
    </row>
    <row r="662" spans="4:7" ht="23.25" customHeight="1" x14ac:dyDescent="0.3">
      <c r="D662" s="9"/>
      <c r="G662" s="9"/>
    </row>
    <row r="663" spans="4:7" ht="23.25" customHeight="1" x14ac:dyDescent="0.3">
      <c r="D663" s="9"/>
      <c r="G663" s="9"/>
    </row>
    <row r="664" spans="4:7" ht="23.25" customHeight="1" x14ac:dyDescent="0.3">
      <c r="D664" s="9"/>
      <c r="G664" s="9"/>
    </row>
    <row r="665" spans="4:7" ht="23.25" customHeight="1" x14ac:dyDescent="0.3">
      <c r="D665" s="9"/>
      <c r="G665" s="9"/>
    </row>
    <row r="666" spans="4:7" ht="23.25" customHeight="1" x14ac:dyDescent="0.3">
      <c r="D666" s="9"/>
      <c r="G666" s="9"/>
    </row>
    <row r="667" spans="4:7" ht="23.25" customHeight="1" x14ac:dyDescent="0.3">
      <c r="D667" s="9"/>
      <c r="G667" s="9"/>
    </row>
    <row r="668" spans="4:7" ht="23.25" customHeight="1" x14ac:dyDescent="0.3">
      <c r="D668" s="9"/>
      <c r="G668" s="9"/>
    </row>
    <row r="669" spans="4:7" ht="23.25" customHeight="1" x14ac:dyDescent="0.3">
      <c r="D669" s="9"/>
      <c r="G669" s="9"/>
    </row>
    <row r="670" spans="4:7" ht="23.25" customHeight="1" x14ac:dyDescent="0.3">
      <c r="D670" s="9"/>
      <c r="G670" s="9"/>
    </row>
    <row r="671" spans="4:7" ht="23.25" customHeight="1" x14ac:dyDescent="0.3">
      <c r="D671" s="9"/>
      <c r="G671" s="9"/>
    </row>
    <row r="672" spans="4:7" ht="23.25" customHeight="1" x14ac:dyDescent="0.3">
      <c r="D672" s="9"/>
      <c r="G672" s="9"/>
    </row>
    <row r="673" spans="4:7" ht="23.25" customHeight="1" x14ac:dyDescent="0.3">
      <c r="D673" s="9"/>
      <c r="G673" s="9"/>
    </row>
    <row r="674" spans="4:7" ht="23.25" customHeight="1" x14ac:dyDescent="0.3">
      <c r="D674" s="9"/>
      <c r="G674" s="9"/>
    </row>
    <row r="675" spans="4:7" ht="23.25" customHeight="1" x14ac:dyDescent="0.3">
      <c r="D675" s="9"/>
      <c r="G675" s="9"/>
    </row>
    <row r="676" spans="4:7" ht="23.25" customHeight="1" x14ac:dyDescent="0.3">
      <c r="D676" s="9"/>
      <c r="G676" s="9"/>
    </row>
    <row r="677" spans="4:7" ht="23.25" customHeight="1" x14ac:dyDescent="0.3">
      <c r="D677" s="9"/>
      <c r="G677" s="9"/>
    </row>
    <row r="678" spans="4:7" ht="23.25" customHeight="1" x14ac:dyDescent="0.3">
      <c r="D678" s="9"/>
      <c r="G678" s="9"/>
    </row>
    <row r="679" spans="4:7" ht="23.25" customHeight="1" x14ac:dyDescent="0.3">
      <c r="D679" s="9"/>
      <c r="G679" s="9"/>
    </row>
    <row r="680" spans="4:7" ht="23.25" customHeight="1" x14ac:dyDescent="0.3">
      <c r="D680" s="9"/>
      <c r="G680" s="9"/>
    </row>
    <row r="681" spans="4:7" ht="23.25" customHeight="1" x14ac:dyDescent="0.3">
      <c r="D681" s="9"/>
      <c r="G681" s="9"/>
    </row>
    <row r="682" spans="4:7" ht="23.25" customHeight="1" x14ac:dyDescent="0.3">
      <c r="D682" s="9"/>
      <c r="G682" s="9"/>
    </row>
    <row r="683" spans="4:7" ht="23.25" customHeight="1" x14ac:dyDescent="0.3">
      <c r="D683" s="9"/>
      <c r="G683" s="9"/>
    </row>
    <row r="684" spans="4:7" ht="23.25" customHeight="1" x14ac:dyDescent="0.3">
      <c r="D684" s="9"/>
      <c r="G684" s="9"/>
    </row>
    <row r="685" spans="4:7" ht="23.25" customHeight="1" x14ac:dyDescent="0.3">
      <c r="D685" s="9"/>
      <c r="G685" s="9"/>
    </row>
    <row r="686" spans="4:7" ht="23.25" customHeight="1" x14ac:dyDescent="0.3">
      <c r="D686" s="9"/>
      <c r="G686" s="9"/>
    </row>
    <row r="687" spans="4:7" ht="23.25" customHeight="1" x14ac:dyDescent="0.3">
      <c r="D687" s="9"/>
      <c r="G687" s="9"/>
    </row>
    <row r="688" spans="4:7" ht="23.25" customHeight="1" x14ac:dyDescent="0.3">
      <c r="D688" s="9"/>
      <c r="G688" s="9"/>
    </row>
    <row r="689" spans="4:7" ht="23.25" customHeight="1" x14ac:dyDescent="0.3">
      <c r="D689" s="9"/>
      <c r="G689" s="9"/>
    </row>
    <row r="690" spans="4:7" ht="23.25" customHeight="1" x14ac:dyDescent="0.3">
      <c r="D690" s="9"/>
      <c r="G690" s="9"/>
    </row>
    <row r="691" spans="4:7" ht="23.25" customHeight="1" x14ac:dyDescent="0.3">
      <c r="D691" s="9"/>
      <c r="G691" s="9"/>
    </row>
    <row r="692" spans="4:7" ht="23.25" customHeight="1" x14ac:dyDescent="0.3">
      <c r="D692" s="9"/>
      <c r="G692" s="9"/>
    </row>
    <row r="693" spans="4:7" ht="23.25" customHeight="1" x14ac:dyDescent="0.3">
      <c r="D693" s="9"/>
      <c r="G693" s="9"/>
    </row>
    <row r="694" spans="4:7" ht="23.25" customHeight="1" x14ac:dyDescent="0.3">
      <c r="D694" s="9"/>
      <c r="G694" s="9"/>
    </row>
    <row r="695" spans="4:7" ht="23.25" customHeight="1" x14ac:dyDescent="0.3">
      <c r="D695" s="9"/>
      <c r="G695" s="9"/>
    </row>
    <row r="696" spans="4:7" ht="23.25" customHeight="1" x14ac:dyDescent="0.3">
      <c r="D696" s="9"/>
      <c r="G696" s="9"/>
    </row>
    <row r="697" spans="4:7" ht="23.25" customHeight="1" x14ac:dyDescent="0.3">
      <c r="D697" s="9"/>
      <c r="G697" s="9"/>
    </row>
    <row r="698" spans="4:7" ht="23.25" customHeight="1" x14ac:dyDescent="0.3">
      <c r="D698" s="9"/>
      <c r="G698" s="9"/>
    </row>
    <row r="699" spans="4:7" ht="23.25" customHeight="1" x14ac:dyDescent="0.3">
      <c r="D699" s="9"/>
      <c r="G699" s="9"/>
    </row>
    <row r="700" spans="4:7" ht="23.25" customHeight="1" x14ac:dyDescent="0.3">
      <c r="D700" s="9"/>
      <c r="G700" s="9"/>
    </row>
    <row r="701" spans="4:7" ht="23.25" customHeight="1" x14ac:dyDescent="0.3">
      <c r="D701" s="9"/>
      <c r="G701" s="9"/>
    </row>
    <row r="702" spans="4:7" ht="23.25" customHeight="1" x14ac:dyDescent="0.3">
      <c r="D702" s="9"/>
      <c r="G702" s="9"/>
    </row>
    <row r="703" spans="4:7" ht="23.25" customHeight="1" x14ac:dyDescent="0.3">
      <c r="D703" s="9"/>
      <c r="G703" s="9"/>
    </row>
    <row r="704" spans="4:7" ht="23.25" customHeight="1" x14ac:dyDescent="0.3">
      <c r="D704" s="9"/>
      <c r="G704" s="9"/>
    </row>
    <row r="705" spans="4:7" ht="23.25" customHeight="1" x14ac:dyDescent="0.3">
      <c r="D705" s="9"/>
      <c r="G705" s="9"/>
    </row>
    <row r="706" spans="4:7" ht="23.25" customHeight="1" x14ac:dyDescent="0.3">
      <c r="D706" s="9"/>
      <c r="G706" s="9"/>
    </row>
    <row r="707" spans="4:7" ht="23.25" customHeight="1" x14ac:dyDescent="0.3">
      <c r="D707" s="9"/>
      <c r="G707" s="9"/>
    </row>
    <row r="708" spans="4:7" ht="23.25" customHeight="1" x14ac:dyDescent="0.3">
      <c r="D708" s="9"/>
      <c r="G708" s="9"/>
    </row>
    <row r="709" spans="4:7" ht="23.25" customHeight="1" x14ac:dyDescent="0.3">
      <c r="D709" s="9"/>
      <c r="G709" s="9"/>
    </row>
    <row r="710" spans="4:7" ht="23.25" customHeight="1" x14ac:dyDescent="0.3">
      <c r="D710" s="9"/>
      <c r="G710" s="9"/>
    </row>
    <row r="711" spans="4:7" ht="23.25" customHeight="1" x14ac:dyDescent="0.3">
      <c r="D711" s="9"/>
      <c r="G711" s="9"/>
    </row>
    <row r="712" spans="4:7" ht="23.25" customHeight="1" x14ac:dyDescent="0.3">
      <c r="D712" s="9"/>
      <c r="G712" s="9"/>
    </row>
    <row r="713" spans="4:7" ht="23.25" customHeight="1" x14ac:dyDescent="0.3">
      <c r="D713" s="9"/>
      <c r="G713" s="9"/>
    </row>
    <row r="714" spans="4:7" ht="23.25" customHeight="1" x14ac:dyDescent="0.3">
      <c r="D714" s="9"/>
      <c r="G714" s="9"/>
    </row>
    <row r="715" spans="4:7" ht="23.25" customHeight="1" x14ac:dyDescent="0.3">
      <c r="D715" s="9"/>
      <c r="G715" s="9"/>
    </row>
    <row r="716" spans="4:7" ht="23.25" customHeight="1" x14ac:dyDescent="0.3">
      <c r="D716" s="9"/>
      <c r="G716" s="9"/>
    </row>
    <row r="717" spans="4:7" ht="23.25" customHeight="1" x14ac:dyDescent="0.3">
      <c r="D717" s="9"/>
      <c r="G717" s="9"/>
    </row>
    <row r="718" spans="4:7" ht="23.25" customHeight="1" x14ac:dyDescent="0.3">
      <c r="D718" s="9"/>
      <c r="G718" s="9"/>
    </row>
    <row r="719" spans="4:7" ht="23.25" customHeight="1" x14ac:dyDescent="0.3">
      <c r="D719" s="9"/>
      <c r="G719" s="9"/>
    </row>
    <row r="720" spans="4:7" ht="23.25" customHeight="1" x14ac:dyDescent="0.3">
      <c r="D720" s="9"/>
      <c r="G720" s="9"/>
    </row>
    <row r="721" spans="4:7" ht="23.25" customHeight="1" x14ac:dyDescent="0.3">
      <c r="D721" s="9"/>
      <c r="G721" s="9"/>
    </row>
    <row r="722" spans="4:7" ht="23.25" customHeight="1" x14ac:dyDescent="0.3">
      <c r="D722" s="9"/>
      <c r="G722" s="9"/>
    </row>
    <row r="723" spans="4:7" ht="23.25" customHeight="1" x14ac:dyDescent="0.3">
      <c r="D723" s="9"/>
      <c r="G723" s="9"/>
    </row>
    <row r="724" spans="4:7" ht="23.25" customHeight="1" x14ac:dyDescent="0.3">
      <c r="D724" s="9"/>
      <c r="G724" s="9"/>
    </row>
    <row r="725" spans="4:7" ht="23.25" customHeight="1" x14ac:dyDescent="0.3">
      <c r="D725" s="9"/>
      <c r="G725" s="9"/>
    </row>
    <row r="726" spans="4:7" ht="23.25" customHeight="1" x14ac:dyDescent="0.3">
      <c r="D726" s="9"/>
      <c r="G726" s="9"/>
    </row>
    <row r="727" spans="4:7" ht="23.25" customHeight="1" x14ac:dyDescent="0.3">
      <c r="D727" s="9"/>
      <c r="G727" s="9"/>
    </row>
    <row r="728" spans="4:7" ht="23.25" customHeight="1" x14ac:dyDescent="0.3">
      <c r="D728" s="9"/>
      <c r="G728" s="9"/>
    </row>
    <row r="729" spans="4:7" ht="23.25" customHeight="1" x14ac:dyDescent="0.3">
      <c r="D729" s="9"/>
      <c r="G729" s="9"/>
    </row>
    <row r="730" spans="4:7" ht="23.25" customHeight="1" x14ac:dyDescent="0.3">
      <c r="D730" s="9"/>
      <c r="G730" s="9"/>
    </row>
    <row r="731" spans="4:7" ht="23.25" customHeight="1" x14ac:dyDescent="0.3">
      <c r="D731" s="9"/>
      <c r="G731" s="9"/>
    </row>
    <row r="732" spans="4:7" ht="23.25" customHeight="1" x14ac:dyDescent="0.3">
      <c r="D732" s="9"/>
      <c r="G732" s="9"/>
    </row>
    <row r="733" spans="4:7" ht="23.25" customHeight="1" x14ac:dyDescent="0.3">
      <c r="D733" s="9"/>
      <c r="G733" s="9"/>
    </row>
    <row r="734" spans="4:7" ht="23.25" customHeight="1" x14ac:dyDescent="0.3">
      <c r="D734" s="9"/>
      <c r="G734" s="9"/>
    </row>
    <row r="735" spans="4:7" ht="23.25" customHeight="1" x14ac:dyDescent="0.3">
      <c r="D735" s="9"/>
      <c r="G735" s="9"/>
    </row>
    <row r="736" spans="4:7" ht="23.25" customHeight="1" x14ac:dyDescent="0.3">
      <c r="D736" s="9"/>
      <c r="G736" s="9"/>
    </row>
    <row r="737" spans="4:7" ht="23.25" customHeight="1" x14ac:dyDescent="0.3">
      <c r="D737" s="9"/>
      <c r="G737" s="9"/>
    </row>
    <row r="738" spans="4:7" ht="23.25" customHeight="1" x14ac:dyDescent="0.3">
      <c r="D738" s="9"/>
      <c r="G738" s="9"/>
    </row>
    <row r="739" spans="4:7" ht="23.25" customHeight="1" x14ac:dyDescent="0.3">
      <c r="D739" s="9"/>
      <c r="G739" s="9"/>
    </row>
    <row r="740" spans="4:7" ht="23.25" customHeight="1" x14ac:dyDescent="0.3">
      <c r="D740" s="9"/>
      <c r="G740" s="9"/>
    </row>
    <row r="741" spans="4:7" ht="23.25" customHeight="1" x14ac:dyDescent="0.3">
      <c r="D741" s="9"/>
      <c r="G741" s="9"/>
    </row>
    <row r="742" spans="4:7" ht="23.25" customHeight="1" x14ac:dyDescent="0.3">
      <c r="D742" s="9"/>
      <c r="G742" s="9"/>
    </row>
    <row r="743" spans="4:7" ht="23.25" customHeight="1" x14ac:dyDescent="0.3">
      <c r="D743" s="9"/>
      <c r="G743" s="9"/>
    </row>
    <row r="744" spans="4:7" ht="23.25" customHeight="1" x14ac:dyDescent="0.3">
      <c r="D744" s="9"/>
      <c r="G744" s="9"/>
    </row>
    <row r="745" spans="4:7" ht="23.25" customHeight="1" x14ac:dyDescent="0.3">
      <c r="D745" s="9"/>
      <c r="G745" s="9"/>
    </row>
    <row r="746" spans="4:7" ht="23.25" customHeight="1" x14ac:dyDescent="0.3">
      <c r="D746" s="9"/>
      <c r="G746" s="9"/>
    </row>
    <row r="747" spans="4:7" ht="23.25" customHeight="1" x14ac:dyDescent="0.3">
      <c r="D747" s="9"/>
      <c r="G747" s="9"/>
    </row>
    <row r="748" spans="4:7" ht="23.25" customHeight="1" x14ac:dyDescent="0.3">
      <c r="D748" s="9"/>
      <c r="G748" s="9"/>
    </row>
    <row r="749" spans="4:7" ht="23.25" customHeight="1" x14ac:dyDescent="0.3">
      <c r="D749" s="9"/>
      <c r="G749" s="9"/>
    </row>
    <row r="750" spans="4:7" ht="23.25" customHeight="1" x14ac:dyDescent="0.3">
      <c r="D750" s="9"/>
      <c r="G750" s="9"/>
    </row>
    <row r="751" spans="4:7" ht="23.25" customHeight="1" x14ac:dyDescent="0.3">
      <c r="D751" s="9"/>
      <c r="G751" s="9"/>
    </row>
    <row r="752" spans="4:7" ht="23.25" customHeight="1" x14ac:dyDescent="0.3">
      <c r="D752" s="9"/>
      <c r="G752" s="9"/>
    </row>
    <row r="753" spans="4:7" ht="23.25" customHeight="1" x14ac:dyDescent="0.3">
      <c r="D753" s="9"/>
      <c r="G753" s="9"/>
    </row>
    <row r="754" spans="4:7" ht="23.25" customHeight="1" x14ac:dyDescent="0.3">
      <c r="D754" s="9"/>
      <c r="G754" s="9"/>
    </row>
    <row r="755" spans="4:7" ht="23.25" customHeight="1" x14ac:dyDescent="0.3">
      <c r="D755" s="9"/>
      <c r="G755" s="9"/>
    </row>
    <row r="756" spans="4:7" ht="23.25" customHeight="1" x14ac:dyDescent="0.3">
      <c r="D756" s="9"/>
      <c r="G756" s="9"/>
    </row>
    <row r="757" spans="4:7" ht="23.25" customHeight="1" x14ac:dyDescent="0.3">
      <c r="D757" s="9"/>
      <c r="G757" s="9"/>
    </row>
    <row r="758" spans="4:7" ht="23.25" customHeight="1" x14ac:dyDescent="0.3">
      <c r="D758" s="9"/>
      <c r="G758" s="9"/>
    </row>
    <row r="759" spans="4:7" ht="23.25" customHeight="1" x14ac:dyDescent="0.3">
      <c r="D759" s="9"/>
      <c r="G759" s="9"/>
    </row>
    <row r="760" spans="4:7" ht="23.25" customHeight="1" x14ac:dyDescent="0.3">
      <c r="D760" s="9"/>
      <c r="G760" s="9"/>
    </row>
    <row r="761" spans="4:7" ht="23.25" customHeight="1" x14ac:dyDescent="0.3">
      <c r="D761" s="9"/>
      <c r="G761" s="9"/>
    </row>
    <row r="762" spans="4:7" ht="23.25" customHeight="1" x14ac:dyDescent="0.3">
      <c r="D762" s="9"/>
      <c r="G762" s="9"/>
    </row>
    <row r="763" spans="4:7" ht="23.25" customHeight="1" x14ac:dyDescent="0.3">
      <c r="D763" s="9"/>
      <c r="G763" s="9"/>
    </row>
    <row r="764" spans="4:7" ht="23.25" customHeight="1" x14ac:dyDescent="0.3">
      <c r="D764" s="9"/>
      <c r="G764" s="9"/>
    </row>
    <row r="765" spans="4:7" ht="23.25" customHeight="1" x14ac:dyDescent="0.3">
      <c r="D765" s="9"/>
      <c r="G765" s="9"/>
    </row>
    <row r="766" spans="4:7" ht="23.25" customHeight="1" x14ac:dyDescent="0.3">
      <c r="D766" s="9"/>
      <c r="G766" s="9"/>
    </row>
    <row r="767" spans="4:7" ht="23.25" customHeight="1" x14ac:dyDescent="0.3">
      <c r="D767" s="9"/>
      <c r="G767" s="9"/>
    </row>
    <row r="768" spans="4:7" ht="23.25" customHeight="1" x14ac:dyDescent="0.3">
      <c r="D768" s="9"/>
      <c r="G768" s="9"/>
    </row>
    <row r="769" spans="4:7" ht="23.25" customHeight="1" x14ac:dyDescent="0.3">
      <c r="D769" s="9"/>
      <c r="G769" s="9"/>
    </row>
    <row r="770" spans="4:7" ht="23.25" customHeight="1" x14ac:dyDescent="0.3">
      <c r="D770" s="9"/>
      <c r="G770" s="9"/>
    </row>
    <row r="771" spans="4:7" ht="23.25" customHeight="1" x14ac:dyDescent="0.3">
      <c r="D771" s="9"/>
      <c r="G771" s="9"/>
    </row>
    <row r="772" spans="4:7" ht="23.25" customHeight="1" x14ac:dyDescent="0.3">
      <c r="D772" s="9"/>
      <c r="G772" s="9"/>
    </row>
    <row r="773" spans="4:7" ht="23.25" customHeight="1" x14ac:dyDescent="0.3">
      <c r="D773" s="9"/>
      <c r="G773" s="9"/>
    </row>
    <row r="774" spans="4:7" ht="23.25" customHeight="1" x14ac:dyDescent="0.3">
      <c r="D774" s="9"/>
      <c r="G774" s="9"/>
    </row>
    <row r="775" spans="4:7" ht="23.25" customHeight="1" x14ac:dyDescent="0.3">
      <c r="D775" s="9"/>
      <c r="G775" s="9"/>
    </row>
    <row r="776" spans="4:7" ht="23.25" customHeight="1" x14ac:dyDescent="0.3">
      <c r="D776" s="9"/>
      <c r="G776" s="9"/>
    </row>
    <row r="777" spans="4:7" ht="23.25" customHeight="1" x14ac:dyDescent="0.3">
      <c r="D777" s="9"/>
      <c r="G777" s="9"/>
    </row>
    <row r="778" spans="4:7" ht="23.25" customHeight="1" x14ac:dyDescent="0.3">
      <c r="D778" s="9"/>
      <c r="G778" s="9"/>
    </row>
    <row r="779" spans="4:7" ht="23.25" customHeight="1" x14ac:dyDescent="0.3">
      <c r="D779" s="9"/>
      <c r="G779" s="9"/>
    </row>
    <row r="780" spans="4:7" ht="23.25" customHeight="1" x14ac:dyDescent="0.3">
      <c r="D780" s="9"/>
      <c r="G780" s="9"/>
    </row>
    <row r="781" spans="4:7" ht="23.25" customHeight="1" x14ac:dyDescent="0.3">
      <c r="D781" s="9"/>
      <c r="G781" s="9"/>
    </row>
    <row r="782" spans="4:7" ht="23.25" customHeight="1" x14ac:dyDescent="0.3">
      <c r="D782" s="9"/>
      <c r="G782" s="9"/>
    </row>
    <row r="783" spans="4:7" ht="23.25" customHeight="1" x14ac:dyDescent="0.3">
      <c r="D783" s="9"/>
      <c r="G783" s="9"/>
    </row>
    <row r="784" spans="4:7" ht="23.25" customHeight="1" x14ac:dyDescent="0.3">
      <c r="D784" s="9"/>
      <c r="G784" s="9"/>
    </row>
    <row r="785" spans="4:7" ht="23.25" customHeight="1" x14ac:dyDescent="0.3">
      <c r="D785" s="9"/>
      <c r="G785" s="9"/>
    </row>
    <row r="786" spans="4:7" ht="23.25" customHeight="1" x14ac:dyDescent="0.3">
      <c r="D786" s="9"/>
      <c r="G786" s="9"/>
    </row>
    <row r="787" spans="4:7" ht="23.25" customHeight="1" x14ac:dyDescent="0.3">
      <c r="D787" s="9"/>
      <c r="G787" s="9"/>
    </row>
    <row r="788" spans="4:7" ht="23.25" customHeight="1" x14ac:dyDescent="0.3">
      <c r="D788" s="9"/>
      <c r="G788" s="9"/>
    </row>
    <row r="789" spans="4:7" ht="23.25" customHeight="1" x14ac:dyDescent="0.3">
      <c r="D789" s="9"/>
      <c r="G789" s="9"/>
    </row>
    <row r="790" spans="4:7" ht="23.25" customHeight="1" x14ac:dyDescent="0.3">
      <c r="D790" s="9"/>
      <c r="G790" s="9"/>
    </row>
    <row r="791" spans="4:7" ht="23.25" customHeight="1" x14ac:dyDescent="0.3">
      <c r="D791" s="9"/>
      <c r="G791" s="9"/>
    </row>
    <row r="792" spans="4:7" ht="23.25" customHeight="1" x14ac:dyDescent="0.3">
      <c r="D792" s="9"/>
      <c r="G792" s="9"/>
    </row>
    <row r="793" spans="4:7" ht="23.25" customHeight="1" x14ac:dyDescent="0.3">
      <c r="D793" s="9"/>
      <c r="G793" s="9"/>
    </row>
    <row r="794" spans="4:7" ht="23.25" customHeight="1" x14ac:dyDescent="0.3">
      <c r="D794" s="9"/>
      <c r="G794" s="9"/>
    </row>
    <row r="795" spans="4:7" ht="23.25" customHeight="1" x14ac:dyDescent="0.3">
      <c r="D795" s="9"/>
      <c r="G795" s="9"/>
    </row>
    <row r="796" spans="4:7" ht="23.25" customHeight="1" x14ac:dyDescent="0.3">
      <c r="D796" s="9"/>
      <c r="G796" s="9"/>
    </row>
    <row r="797" spans="4:7" ht="23.25" customHeight="1" x14ac:dyDescent="0.3">
      <c r="D797" s="9"/>
      <c r="G797" s="9"/>
    </row>
    <row r="798" spans="4:7" ht="23.25" customHeight="1" x14ac:dyDescent="0.3">
      <c r="D798" s="9"/>
      <c r="G798" s="9"/>
    </row>
    <row r="799" spans="4:7" ht="23.25" customHeight="1" x14ac:dyDescent="0.3">
      <c r="D799" s="9"/>
      <c r="G799" s="9"/>
    </row>
    <row r="800" spans="4:7" ht="23.25" customHeight="1" x14ac:dyDescent="0.3">
      <c r="D800" s="9"/>
      <c r="G800" s="9"/>
    </row>
    <row r="801" spans="4:7" ht="23.25" customHeight="1" x14ac:dyDescent="0.3">
      <c r="D801" s="9"/>
      <c r="G801" s="9"/>
    </row>
    <row r="802" spans="4:7" ht="23.25" customHeight="1" x14ac:dyDescent="0.3">
      <c r="D802" s="9"/>
      <c r="G802" s="9"/>
    </row>
    <row r="803" spans="4:7" ht="23.25" customHeight="1" x14ac:dyDescent="0.3">
      <c r="D803" s="9"/>
      <c r="G803" s="9"/>
    </row>
    <row r="804" spans="4:7" ht="23.25" customHeight="1" x14ac:dyDescent="0.3">
      <c r="D804" s="9"/>
      <c r="G804" s="9"/>
    </row>
    <row r="805" spans="4:7" ht="23.25" customHeight="1" x14ac:dyDescent="0.3">
      <c r="D805" s="9"/>
      <c r="G805" s="9"/>
    </row>
    <row r="806" spans="4:7" ht="23.25" customHeight="1" x14ac:dyDescent="0.3">
      <c r="D806" s="9"/>
      <c r="G806" s="9"/>
    </row>
    <row r="807" spans="4:7" ht="23.25" customHeight="1" x14ac:dyDescent="0.3">
      <c r="D807" s="9"/>
      <c r="G807" s="9"/>
    </row>
    <row r="808" spans="4:7" ht="23.25" customHeight="1" x14ac:dyDescent="0.3">
      <c r="D808" s="9"/>
      <c r="G808" s="9"/>
    </row>
    <row r="809" spans="4:7" ht="23.25" customHeight="1" x14ac:dyDescent="0.3">
      <c r="D809" s="9"/>
      <c r="G809" s="9"/>
    </row>
    <row r="810" spans="4:7" ht="23.25" customHeight="1" x14ac:dyDescent="0.3">
      <c r="D810" s="9"/>
      <c r="G810" s="9"/>
    </row>
    <row r="811" spans="4:7" ht="23.25" customHeight="1" x14ac:dyDescent="0.3">
      <c r="D811" s="9"/>
      <c r="G811" s="9"/>
    </row>
    <row r="812" spans="4:7" ht="23.25" customHeight="1" x14ac:dyDescent="0.3">
      <c r="D812" s="9"/>
      <c r="G812" s="9"/>
    </row>
    <row r="813" spans="4:7" ht="23.25" customHeight="1" x14ac:dyDescent="0.3">
      <c r="D813" s="9"/>
      <c r="G813" s="9"/>
    </row>
    <row r="814" spans="4:7" ht="23.25" customHeight="1" x14ac:dyDescent="0.3">
      <c r="D814" s="9"/>
      <c r="G814" s="9"/>
    </row>
    <row r="815" spans="4:7" ht="23.25" customHeight="1" x14ac:dyDescent="0.3">
      <c r="D815" s="9"/>
      <c r="G815" s="9"/>
    </row>
    <row r="816" spans="4:7" ht="23.25" customHeight="1" x14ac:dyDescent="0.3">
      <c r="D816" s="9"/>
      <c r="G816" s="9"/>
    </row>
    <row r="817" spans="4:7" ht="23.25" customHeight="1" x14ac:dyDescent="0.3">
      <c r="D817" s="9"/>
      <c r="G817" s="9"/>
    </row>
    <row r="818" spans="4:7" ht="23.25" customHeight="1" x14ac:dyDescent="0.3">
      <c r="D818" s="9"/>
      <c r="G818" s="9"/>
    </row>
    <row r="819" spans="4:7" ht="23.25" customHeight="1" x14ac:dyDescent="0.3">
      <c r="D819" s="9"/>
      <c r="G819" s="9"/>
    </row>
    <row r="820" spans="4:7" ht="23.25" customHeight="1" x14ac:dyDescent="0.3">
      <c r="D820" s="9"/>
      <c r="G820" s="9"/>
    </row>
    <row r="821" spans="4:7" ht="23.25" customHeight="1" x14ac:dyDescent="0.3">
      <c r="D821" s="9"/>
      <c r="G821" s="9"/>
    </row>
    <row r="822" spans="4:7" ht="23.25" customHeight="1" x14ac:dyDescent="0.3">
      <c r="D822" s="9"/>
      <c r="G822" s="9"/>
    </row>
    <row r="823" spans="4:7" ht="23.25" customHeight="1" x14ac:dyDescent="0.3">
      <c r="D823" s="9"/>
      <c r="G823" s="9"/>
    </row>
    <row r="824" spans="4:7" ht="23.25" customHeight="1" x14ac:dyDescent="0.3">
      <c r="D824" s="9"/>
      <c r="G824" s="9"/>
    </row>
    <row r="825" spans="4:7" ht="23.25" customHeight="1" x14ac:dyDescent="0.3">
      <c r="D825" s="9"/>
      <c r="G825" s="9"/>
    </row>
    <row r="826" spans="4:7" ht="23.25" customHeight="1" x14ac:dyDescent="0.3">
      <c r="D826" s="9"/>
      <c r="G826" s="9"/>
    </row>
    <row r="827" spans="4:7" ht="23.25" customHeight="1" x14ac:dyDescent="0.3">
      <c r="D827" s="9"/>
      <c r="G827" s="9"/>
    </row>
    <row r="828" spans="4:7" ht="23.25" customHeight="1" x14ac:dyDescent="0.3">
      <c r="D828" s="9"/>
      <c r="G828" s="9"/>
    </row>
    <row r="829" spans="4:7" ht="23.25" customHeight="1" x14ac:dyDescent="0.3">
      <c r="D829" s="9"/>
      <c r="G829" s="9"/>
    </row>
    <row r="830" spans="4:7" ht="23.25" customHeight="1" x14ac:dyDescent="0.3">
      <c r="D830" s="9"/>
      <c r="G830" s="9"/>
    </row>
    <row r="831" spans="4:7" ht="23.25" customHeight="1" x14ac:dyDescent="0.3">
      <c r="D831" s="9"/>
      <c r="G831" s="9"/>
    </row>
    <row r="832" spans="4:7" ht="23.25" customHeight="1" x14ac:dyDescent="0.3">
      <c r="D832" s="9"/>
      <c r="G832" s="9"/>
    </row>
    <row r="833" spans="4:7" ht="23.25" customHeight="1" x14ac:dyDescent="0.3">
      <c r="D833" s="9"/>
      <c r="G833" s="9"/>
    </row>
    <row r="834" spans="4:7" ht="23.25" customHeight="1" x14ac:dyDescent="0.3">
      <c r="D834" s="9"/>
      <c r="G834" s="9"/>
    </row>
    <row r="835" spans="4:7" ht="23.25" customHeight="1" x14ac:dyDescent="0.3">
      <c r="D835" s="9"/>
      <c r="G835" s="9"/>
    </row>
    <row r="836" spans="4:7" ht="23.25" customHeight="1" x14ac:dyDescent="0.3">
      <c r="D836" s="9"/>
      <c r="G836" s="9"/>
    </row>
    <row r="837" spans="4:7" ht="23.25" customHeight="1" x14ac:dyDescent="0.3">
      <c r="D837" s="9"/>
      <c r="G837" s="9"/>
    </row>
    <row r="838" spans="4:7" ht="23.25" customHeight="1" x14ac:dyDescent="0.3">
      <c r="D838" s="9"/>
      <c r="G838" s="9"/>
    </row>
    <row r="839" spans="4:7" ht="23.25" customHeight="1" x14ac:dyDescent="0.3">
      <c r="D839" s="9"/>
      <c r="G839" s="9"/>
    </row>
    <row r="840" spans="4:7" ht="23.25" customHeight="1" x14ac:dyDescent="0.3">
      <c r="D840" s="9"/>
      <c r="G840" s="9"/>
    </row>
    <row r="841" spans="4:7" ht="23.25" customHeight="1" x14ac:dyDescent="0.3">
      <c r="D841" s="9"/>
      <c r="G841" s="9"/>
    </row>
    <row r="842" spans="4:7" ht="23.25" customHeight="1" x14ac:dyDescent="0.3">
      <c r="D842" s="9"/>
      <c r="G842" s="9"/>
    </row>
    <row r="843" spans="4:7" ht="23.25" customHeight="1" x14ac:dyDescent="0.3">
      <c r="D843" s="9"/>
      <c r="G843" s="9"/>
    </row>
    <row r="844" spans="4:7" ht="23.25" customHeight="1" x14ac:dyDescent="0.3">
      <c r="D844" s="9"/>
      <c r="G844" s="9"/>
    </row>
    <row r="845" spans="4:7" ht="23.25" customHeight="1" x14ac:dyDescent="0.3">
      <c r="D845" s="9"/>
      <c r="G845" s="9"/>
    </row>
    <row r="846" spans="4:7" ht="23.25" customHeight="1" x14ac:dyDescent="0.3">
      <c r="D846" s="9"/>
      <c r="G846" s="9"/>
    </row>
    <row r="847" spans="4:7" ht="23.25" customHeight="1" x14ac:dyDescent="0.3">
      <c r="D847" s="9"/>
      <c r="G847" s="9"/>
    </row>
    <row r="848" spans="4:7" ht="23.25" customHeight="1" x14ac:dyDescent="0.3">
      <c r="D848" s="9"/>
      <c r="G848" s="9"/>
    </row>
    <row r="849" spans="4:7" ht="23.25" customHeight="1" x14ac:dyDescent="0.3">
      <c r="D849" s="9"/>
      <c r="G849" s="9"/>
    </row>
    <row r="850" spans="4:7" ht="23.25" customHeight="1" x14ac:dyDescent="0.3">
      <c r="D850" s="9"/>
      <c r="G850" s="9"/>
    </row>
    <row r="851" spans="4:7" ht="23.25" customHeight="1" x14ac:dyDescent="0.3">
      <c r="D851" s="9"/>
      <c r="G851" s="9"/>
    </row>
    <row r="852" spans="4:7" ht="23.25" customHeight="1" x14ac:dyDescent="0.3">
      <c r="D852" s="9"/>
      <c r="G852" s="9"/>
    </row>
    <row r="853" spans="4:7" ht="23.25" customHeight="1" x14ac:dyDescent="0.3">
      <c r="D853" s="9"/>
      <c r="G853" s="9"/>
    </row>
    <row r="854" spans="4:7" ht="23.25" customHeight="1" x14ac:dyDescent="0.3">
      <c r="D854" s="9"/>
      <c r="G854" s="9"/>
    </row>
    <row r="855" spans="4:7" ht="23.25" customHeight="1" x14ac:dyDescent="0.3">
      <c r="D855" s="9"/>
      <c r="G855" s="9"/>
    </row>
    <row r="856" spans="4:7" ht="23.25" customHeight="1" x14ac:dyDescent="0.3">
      <c r="D856" s="9"/>
      <c r="G856" s="9"/>
    </row>
    <row r="857" spans="4:7" ht="23.25" customHeight="1" x14ac:dyDescent="0.3">
      <c r="D857" s="9"/>
      <c r="G857" s="9"/>
    </row>
    <row r="858" spans="4:7" ht="23.25" customHeight="1" x14ac:dyDescent="0.3">
      <c r="D858" s="9"/>
      <c r="G858" s="9"/>
    </row>
    <row r="859" spans="4:7" ht="23.25" customHeight="1" x14ac:dyDescent="0.3">
      <c r="D859" s="9"/>
      <c r="G859" s="9"/>
    </row>
    <row r="860" spans="4:7" ht="23.25" customHeight="1" x14ac:dyDescent="0.3">
      <c r="D860" s="9"/>
      <c r="G860" s="9"/>
    </row>
    <row r="861" spans="4:7" ht="23.25" customHeight="1" x14ac:dyDescent="0.3">
      <c r="D861" s="9"/>
      <c r="G861" s="9"/>
    </row>
    <row r="862" spans="4:7" ht="23.25" customHeight="1" x14ac:dyDescent="0.3">
      <c r="D862" s="9"/>
      <c r="G862" s="9"/>
    </row>
    <row r="863" spans="4:7" ht="23.25" customHeight="1" x14ac:dyDescent="0.3">
      <c r="D863" s="9"/>
      <c r="G863" s="9"/>
    </row>
    <row r="864" spans="4:7" ht="23.25" customHeight="1" x14ac:dyDescent="0.3">
      <c r="D864" s="9"/>
      <c r="G864" s="9"/>
    </row>
    <row r="865" spans="4:7" ht="23.25" customHeight="1" x14ac:dyDescent="0.3">
      <c r="D865" s="9"/>
      <c r="G865" s="9"/>
    </row>
    <row r="866" spans="4:7" ht="23.25" customHeight="1" x14ac:dyDescent="0.3">
      <c r="D866" s="9"/>
      <c r="G866" s="9"/>
    </row>
    <row r="867" spans="4:7" ht="23.25" customHeight="1" x14ac:dyDescent="0.3">
      <c r="D867" s="9"/>
      <c r="G867" s="9"/>
    </row>
    <row r="868" spans="4:7" ht="23.25" customHeight="1" x14ac:dyDescent="0.3">
      <c r="D868" s="9"/>
      <c r="G868" s="9"/>
    </row>
    <row r="869" spans="4:7" ht="23.25" customHeight="1" x14ac:dyDescent="0.3">
      <c r="D869" s="9"/>
      <c r="G869" s="9"/>
    </row>
    <row r="870" spans="4:7" ht="23.25" customHeight="1" x14ac:dyDescent="0.3">
      <c r="D870" s="9"/>
      <c r="G870" s="9"/>
    </row>
    <row r="871" spans="4:7" ht="23.25" customHeight="1" x14ac:dyDescent="0.3">
      <c r="D871" s="9"/>
      <c r="G871" s="9"/>
    </row>
    <row r="872" spans="4:7" ht="23.25" customHeight="1" x14ac:dyDescent="0.3">
      <c r="D872" s="9"/>
      <c r="G872" s="9"/>
    </row>
    <row r="873" spans="4:7" ht="23.25" customHeight="1" x14ac:dyDescent="0.3">
      <c r="D873" s="9"/>
      <c r="G873" s="9"/>
    </row>
    <row r="874" spans="4:7" ht="23.25" customHeight="1" x14ac:dyDescent="0.3">
      <c r="D874" s="9"/>
      <c r="G874" s="9"/>
    </row>
    <row r="875" spans="4:7" ht="23.25" customHeight="1" x14ac:dyDescent="0.3">
      <c r="D875" s="9"/>
      <c r="G875" s="9"/>
    </row>
    <row r="876" spans="4:7" ht="23.25" customHeight="1" x14ac:dyDescent="0.3">
      <c r="D876" s="9"/>
      <c r="G876" s="9"/>
    </row>
    <row r="877" spans="4:7" ht="23.25" customHeight="1" x14ac:dyDescent="0.3">
      <c r="D877" s="9"/>
      <c r="G877" s="9"/>
    </row>
    <row r="878" spans="4:7" ht="23.25" customHeight="1" x14ac:dyDescent="0.3">
      <c r="D878" s="9"/>
      <c r="G878" s="9"/>
    </row>
    <row r="879" spans="4:7" ht="23.25" customHeight="1" x14ac:dyDescent="0.3">
      <c r="D879" s="9"/>
      <c r="G879" s="9"/>
    </row>
    <row r="880" spans="4:7" ht="23.25" customHeight="1" x14ac:dyDescent="0.3">
      <c r="D880" s="9"/>
      <c r="G880" s="9"/>
    </row>
    <row r="881" spans="4:7" ht="23.25" customHeight="1" x14ac:dyDescent="0.3">
      <c r="D881" s="9"/>
      <c r="G881" s="9"/>
    </row>
    <row r="882" spans="4:7" ht="23.25" customHeight="1" x14ac:dyDescent="0.3">
      <c r="D882" s="9"/>
      <c r="G882" s="9"/>
    </row>
    <row r="883" spans="4:7" ht="23.25" customHeight="1" x14ac:dyDescent="0.3">
      <c r="D883" s="9"/>
      <c r="G883" s="9"/>
    </row>
    <row r="884" spans="4:7" ht="23.25" customHeight="1" x14ac:dyDescent="0.3">
      <c r="D884" s="9"/>
      <c r="G884" s="9"/>
    </row>
    <row r="885" spans="4:7" ht="23.25" customHeight="1" x14ac:dyDescent="0.3">
      <c r="D885" s="9"/>
      <c r="G885" s="9"/>
    </row>
    <row r="886" spans="4:7" ht="23.25" customHeight="1" x14ac:dyDescent="0.3">
      <c r="D886" s="9"/>
      <c r="G886" s="9"/>
    </row>
    <row r="887" spans="4:7" ht="23.25" customHeight="1" x14ac:dyDescent="0.3">
      <c r="D887" s="9"/>
      <c r="G887" s="9"/>
    </row>
    <row r="888" spans="4:7" ht="23.25" customHeight="1" x14ac:dyDescent="0.3">
      <c r="D888" s="9"/>
      <c r="G888" s="9"/>
    </row>
    <row r="889" spans="4:7" ht="23.25" customHeight="1" x14ac:dyDescent="0.3">
      <c r="D889" s="9"/>
      <c r="G889" s="9"/>
    </row>
    <row r="890" spans="4:7" ht="23.25" customHeight="1" x14ac:dyDescent="0.3">
      <c r="D890" s="9"/>
      <c r="G890" s="9"/>
    </row>
    <row r="891" spans="4:7" ht="23.25" customHeight="1" x14ac:dyDescent="0.3">
      <c r="D891" s="9"/>
      <c r="G891" s="9"/>
    </row>
    <row r="892" spans="4:7" ht="23.25" customHeight="1" x14ac:dyDescent="0.3">
      <c r="D892" s="9"/>
      <c r="G892" s="9"/>
    </row>
    <row r="893" spans="4:7" ht="23.25" customHeight="1" x14ac:dyDescent="0.3">
      <c r="D893" s="9"/>
      <c r="G893" s="9"/>
    </row>
    <row r="894" spans="4:7" ht="23.25" customHeight="1" x14ac:dyDescent="0.3">
      <c r="D894" s="9"/>
      <c r="G894" s="9"/>
    </row>
    <row r="895" spans="4:7" ht="23.25" customHeight="1" x14ac:dyDescent="0.3">
      <c r="D895" s="9"/>
      <c r="G895" s="9"/>
    </row>
    <row r="896" spans="4:7" ht="23.25" customHeight="1" x14ac:dyDescent="0.3">
      <c r="D896" s="9"/>
      <c r="G896" s="9"/>
    </row>
    <row r="897" spans="4:7" ht="23.25" customHeight="1" x14ac:dyDescent="0.3">
      <c r="D897" s="9"/>
      <c r="G897" s="9"/>
    </row>
    <row r="898" spans="4:7" ht="23.25" customHeight="1" x14ac:dyDescent="0.3">
      <c r="D898" s="9"/>
      <c r="G898" s="9"/>
    </row>
    <row r="899" spans="4:7" ht="23.25" customHeight="1" x14ac:dyDescent="0.3">
      <c r="D899" s="9"/>
      <c r="G899" s="9"/>
    </row>
    <row r="900" spans="4:7" ht="23.25" customHeight="1" x14ac:dyDescent="0.3">
      <c r="D900" s="9"/>
      <c r="G900" s="9"/>
    </row>
    <row r="901" spans="4:7" ht="23.25" customHeight="1" x14ac:dyDescent="0.3">
      <c r="D901" s="9"/>
      <c r="G901" s="9"/>
    </row>
    <row r="902" spans="4:7" ht="23.25" customHeight="1" x14ac:dyDescent="0.3">
      <c r="D902" s="9"/>
      <c r="G902" s="9"/>
    </row>
    <row r="903" spans="4:7" ht="23.25" customHeight="1" x14ac:dyDescent="0.3">
      <c r="D903" s="9"/>
      <c r="G903" s="9"/>
    </row>
    <row r="904" spans="4:7" ht="23.25" customHeight="1" x14ac:dyDescent="0.3">
      <c r="D904" s="9"/>
      <c r="G904" s="9"/>
    </row>
    <row r="905" spans="4:7" ht="23.25" customHeight="1" x14ac:dyDescent="0.3">
      <c r="D905" s="9"/>
      <c r="G905" s="9"/>
    </row>
    <row r="906" spans="4:7" ht="23.25" customHeight="1" x14ac:dyDescent="0.3">
      <c r="D906" s="9"/>
      <c r="G906" s="9"/>
    </row>
    <row r="907" spans="4:7" ht="23.25" customHeight="1" x14ac:dyDescent="0.3">
      <c r="D907" s="9"/>
      <c r="G907" s="9"/>
    </row>
    <row r="908" spans="4:7" ht="23.25" customHeight="1" x14ac:dyDescent="0.3">
      <c r="D908" s="9"/>
      <c r="G908" s="9"/>
    </row>
    <row r="909" spans="4:7" ht="23.25" customHeight="1" x14ac:dyDescent="0.3">
      <c r="D909" s="9"/>
      <c r="G909" s="9"/>
    </row>
    <row r="910" spans="4:7" ht="23.25" customHeight="1" x14ac:dyDescent="0.3">
      <c r="D910" s="9"/>
      <c r="G910" s="9"/>
    </row>
    <row r="911" spans="4:7" ht="23.25" customHeight="1" x14ac:dyDescent="0.3">
      <c r="D911" s="9"/>
      <c r="G911" s="9"/>
    </row>
    <row r="912" spans="4:7" ht="23.25" customHeight="1" x14ac:dyDescent="0.3">
      <c r="D912" s="9"/>
      <c r="G912" s="9"/>
    </row>
    <row r="913" spans="4:7" ht="23.25" customHeight="1" x14ac:dyDescent="0.3">
      <c r="D913" s="9"/>
      <c r="G913" s="9"/>
    </row>
    <row r="914" spans="4:7" ht="23.25" customHeight="1" x14ac:dyDescent="0.3">
      <c r="D914" s="9"/>
      <c r="G914" s="9"/>
    </row>
    <row r="915" spans="4:7" ht="23.25" customHeight="1" x14ac:dyDescent="0.3">
      <c r="D915" s="9"/>
      <c r="G915" s="9"/>
    </row>
    <row r="916" spans="4:7" ht="23.25" customHeight="1" x14ac:dyDescent="0.3">
      <c r="D916" s="9"/>
      <c r="G916" s="9"/>
    </row>
    <row r="917" spans="4:7" ht="23.25" customHeight="1" x14ac:dyDescent="0.3">
      <c r="D917" s="9"/>
      <c r="G917" s="9"/>
    </row>
    <row r="918" spans="4:7" ht="23.25" customHeight="1" x14ac:dyDescent="0.3">
      <c r="D918" s="9"/>
      <c r="G918" s="9"/>
    </row>
    <row r="919" spans="4:7" ht="23.25" customHeight="1" x14ac:dyDescent="0.3">
      <c r="D919" s="9"/>
      <c r="G919" s="9"/>
    </row>
    <row r="920" spans="4:7" ht="23.25" customHeight="1" x14ac:dyDescent="0.3">
      <c r="D920" s="9"/>
      <c r="G920" s="9"/>
    </row>
    <row r="921" spans="4:7" ht="23.25" customHeight="1" x14ac:dyDescent="0.3">
      <c r="D921" s="9"/>
      <c r="G921" s="9"/>
    </row>
    <row r="922" spans="4:7" ht="23.25" customHeight="1" x14ac:dyDescent="0.3">
      <c r="D922" s="9"/>
      <c r="G922" s="9"/>
    </row>
    <row r="923" spans="4:7" ht="23.25" customHeight="1" x14ac:dyDescent="0.3">
      <c r="D923" s="9"/>
      <c r="G923" s="9"/>
    </row>
    <row r="924" spans="4:7" ht="23.25" customHeight="1" x14ac:dyDescent="0.3">
      <c r="D924" s="9"/>
      <c r="G924" s="9"/>
    </row>
    <row r="925" spans="4:7" ht="23.25" customHeight="1" x14ac:dyDescent="0.3">
      <c r="D925" s="9"/>
      <c r="G925" s="9"/>
    </row>
    <row r="926" spans="4:7" ht="23.25" customHeight="1" x14ac:dyDescent="0.3">
      <c r="D926" s="9"/>
      <c r="G926" s="9"/>
    </row>
    <row r="927" spans="4:7" ht="23.25" customHeight="1" x14ac:dyDescent="0.3">
      <c r="D927" s="9"/>
      <c r="G927" s="9"/>
    </row>
    <row r="928" spans="4:7" ht="23.25" customHeight="1" x14ac:dyDescent="0.3">
      <c r="D928" s="9"/>
      <c r="G928" s="9"/>
    </row>
    <row r="929" spans="4:7" ht="23.25" customHeight="1" x14ac:dyDescent="0.3">
      <c r="D929" s="9"/>
      <c r="G929" s="9"/>
    </row>
    <row r="930" spans="4:7" ht="23.25" customHeight="1" x14ac:dyDescent="0.3">
      <c r="D930" s="9"/>
      <c r="G930" s="9"/>
    </row>
    <row r="931" spans="4:7" ht="23.25" customHeight="1" x14ac:dyDescent="0.3">
      <c r="D931" s="9"/>
      <c r="G931" s="9"/>
    </row>
    <row r="932" spans="4:7" ht="23.25" customHeight="1" x14ac:dyDescent="0.3">
      <c r="D932" s="9"/>
      <c r="G932" s="9"/>
    </row>
    <row r="933" spans="4:7" ht="23.25" customHeight="1" x14ac:dyDescent="0.3">
      <c r="D933" s="9"/>
      <c r="G933" s="9"/>
    </row>
    <row r="934" spans="4:7" ht="23.25" customHeight="1" x14ac:dyDescent="0.3">
      <c r="D934" s="9"/>
      <c r="G934" s="9"/>
    </row>
    <row r="935" spans="4:7" ht="23.25" customHeight="1" x14ac:dyDescent="0.3">
      <c r="D935" s="9"/>
      <c r="G935" s="9"/>
    </row>
    <row r="936" spans="4:7" ht="23.25" customHeight="1" x14ac:dyDescent="0.3">
      <c r="D936" s="9"/>
      <c r="G936" s="9"/>
    </row>
    <row r="937" spans="4:7" ht="23.25" customHeight="1" x14ac:dyDescent="0.3">
      <c r="D937" s="9"/>
      <c r="G937" s="9"/>
    </row>
    <row r="938" spans="4:7" ht="23.25" customHeight="1" x14ac:dyDescent="0.3">
      <c r="D938" s="9"/>
      <c r="G938" s="9"/>
    </row>
    <row r="939" spans="4:7" ht="23.25" customHeight="1" x14ac:dyDescent="0.3">
      <c r="D939" s="9"/>
      <c r="G939" s="9"/>
    </row>
    <row r="940" spans="4:7" ht="23.25" customHeight="1" x14ac:dyDescent="0.3">
      <c r="D940" s="9"/>
      <c r="G940" s="9"/>
    </row>
    <row r="941" spans="4:7" ht="23.25" customHeight="1" x14ac:dyDescent="0.3">
      <c r="D941" s="9"/>
      <c r="G941" s="9"/>
    </row>
    <row r="942" spans="4:7" ht="23.25" customHeight="1" x14ac:dyDescent="0.3">
      <c r="D942" s="9"/>
      <c r="G942" s="9"/>
    </row>
    <row r="943" spans="4:7" ht="23.25" customHeight="1" x14ac:dyDescent="0.3">
      <c r="D943" s="9"/>
      <c r="G943" s="9"/>
    </row>
    <row r="944" spans="4:7" ht="23.25" customHeight="1" x14ac:dyDescent="0.3">
      <c r="D944" s="9"/>
      <c r="G944" s="9"/>
    </row>
    <row r="945" spans="4:7" ht="23.25" customHeight="1" x14ac:dyDescent="0.3">
      <c r="D945" s="9"/>
      <c r="G945" s="9"/>
    </row>
    <row r="946" spans="4:7" ht="23.25" customHeight="1" x14ac:dyDescent="0.3">
      <c r="D946" s="9"/>
      <c r="G946" s="9"/>
    </row>
    <row r="947" spans="4:7" ht="23.25" customHeight="1" x14ac:dyDescent="0.3">
      <c r="D947" s="9"/>
      <c r="G947" s="9"/>
    </row>
    <row r="948" spans="4:7" ht="23.25" customHeight="1" x14ac:dyDescent="0.3">
      <c r="D948" s="9"/>
      <c r="G948" s="9"/>
    </row>
    <row r="949" spans="4:7" ht="23.25" customHeight="1" x14ac:dyDescent="0.3">
      <c r="D949" s="9"/>
      <c r="G949" s="9"/>
    </row>
    <row r="950" spans="4:7" ht="23.25" customHeight="1" x14ac:dyDescent="0.3">
      <c r="D950" s="9"/>
      <c r="G950" s="9"/>
    </row>
    <row r="951" spans="4:7" ht="23.25" customHeight="1" x14ac:dyDescent="0.3">
      <c r="D951" s="9"/>
      <c r="G951" s="9"/>
    </row>
    <row r="952" spans="4:7" ht="23.25" customHeight="1" x14ac:dyDescent="0.3">
      <c r="D952" s="9"/>
      <c r="G952" s="9"/>
    </row>
    <row r="953" spans="4:7" ht="23.25" customHeight="1" x14ac:dyDescent="0.3">
      <c r="D953" s="9"/>
      <c r="G953" s="9"/>
    </row>
    <row r="954" spans="4:7" ht="23.25" customHeight="1" x14ac:dyDescent="0.3">
      <c r="D954" s="9"/>
      <c r="G954" s="9"/>
    </row>
    <row r="955" spans="4:7" ht="23.25" customHeight="1" x14ac:dyDescent="0.3">
      <c r="D955" s="9"/>
      <c r="G955" s="9"/>
    </row>
    <row r="956" spans="4:7" ht="23.25" customHeight="1" x14ac:dyDescent="0.3">
      <c r="D956" s="9"/>
      <c r="G956" s="9"/>
    </row>
    <row r="957" spans="4:7" ht="23.25" customHeight="1" x14ac:dyDescent="0.3">
      <c r="D957" s="9"/>
      <c r="G957" s="9"/>
    </row>
    <row r="958" spans="4:7" ht="23.25" customHeight="1" x14ac:dyDescent="0.3">
      <c r="D958" s="9"/>
      <c r="G958" s="9"/>
    </row>
    <row r="959" spans="4:7" ht="23.25" customHeight="1" x14ac:dyDescent="0.3">
      <c r="D959" s="9"/>
      <c r="G959" s="9"/>
    </row>
    <row r="960" spans="4:7" ht="23.25" customHeight="1" x14ac:dyDescent="0.3">
      <c r="D960" s="9"/>
      <c r="G960" s="9"/>
    </row>
    <row r="961" spans="4:7" ht="23.25" customHeight="1" x14ac:dyDescent="0.3">
      <c r="D961" s="9"/>
      <c r="G961" s="9"/>
    </row>
    <row r="962" spans="4:7" ht="23.25" customHeight="1" x14ac:dyDescent="0.3">
      <c r="D962" s="9"/>
      <c r="G962" s="9"/>
    </row>
    <row r="963" spans="4:7" ht="23.25" customHeight="1" x14ac:dyDescent="0.3">
      <c r="D963" s="9"/>
      <c r="G963" s="9"/>
    </row>
    <row r="964" spans="4:7" ht="23.25" customHeight="1" x14ac:dyDescent="0.3">
      <c r="D964" s="9"/>
      <c r="G964" s="9"/>
    </row>
    <row r="965" spans="4:7" ht="23.25" customHeight="1" x14ac:dyDescent="0.3">
      <c r="D965" s="9"/>
      <c r="G965" s="9"/>
    </row>
    <row r="966" spans="4:7" ht="23.25" customHeight="1" x14ac:dyDescent="0.3">
      <c r="D966" s="9"/>
      <c r="G966" s="9"/>
    </row>
    <row r="967" spans="4:7" ht="23.25" customHeight="1" x14ac:dyDescent="0.3">
      <c r="D967" s="9"/>
      <c r="G967" s="9"/>
    </row>
    <row r="968" spans="4:7" ht="23.25" customHeight="1" x14ac:dyDescent="0.3">
      <c r="D968" s="9"/>
      <c r="G968" s="9"/>
    </row>
    <row r="969" spans="4:7" ht="23.25" customHeight="1" x14ac:dyDescent="0.3">
      <c r="D969" s="9"/>
      <c r="G969" s="9"/>
    </row>
    <row r="970" spans="4:7" ht="23.25" customHeight="1" x14ac:dyDescent="0.3">
      <c r="D970" s="9"/>
      <c r="G970" s="9"/>
    </row>
    <row r="971" spans="4:7" ht="23.25" customHeight="1" x14ac:dyDescent="0.3">
      <c r="D971" s="9"/>
      <c r="G971" s="9"/>
    </row>
    <row r="972" spans="4:7" ht="23.25" customHeight="1" x14ac:dyDescent="0.3">
      <c r="D972" s="9"/>
      <c r="G972" s="9"/>
    </row>
    <row r="973" spans="4:7" ht="23.25" customHeight="1" x14ac:dyDescent="0.3">
      <c r="D973" s="9"/>
      <c r="G973" s="9"/>
    </row>
    <row r="974" spans="4:7" ht="23.25" customHeight="1" x14ac:dyDescent="0.3">
      <c r="D974" s="9"/>
      <c r="G974" s="9"/>
    </row>
    <row r="975" spans="4:7" ht="23.25" customHeight="1" x14ac:dyDescent="0.3">
      <c r="D975" s="9"/>
      <c r="G975" s="9"/>
    </row>
    <row r="976" spans="4:7" ht="23.25" customHeight="1" x14ac:dyDescent="0.3">
      <c r="D976" s="9"/>
      <c r="G976" s="9"/>
    </row>
    <row r="977" spans="4:7" ht="23.25" customHeight="1" x14ac:dyDescent="0.3">
      <c r="D977" s="9"/>
      <c r="G977" s="9"/>
    </row>
    <row r="978" spans="4:7" ht="23.25" customHeight="1" x14ac:dyDescent="0.3">
      <c r="D978" s="9"/>
      <c r="G978" s="9"/>
    </row>
    <row r="979" spans="4:7" ht="23.25" customHeight="1" x14ac:dyDescent="0.3">
      <c r="D979" s="9"/>
      <c r="G979" s="9"/>
    </row>
    <row r="980" spans="4:7" ht="23.25" customHeight="1" x14ac:dyDescent="0.3">
      <c r="D980" s="9"/>
      <c r="G980" s="9"/>
    </row>
    <row r="981" spans="4:7" ht="23.25" customHeight="1" x14ac:dyDescent="0.3">
      <c r="D981" s="9"/>
      <c r="G981" s="9"/>
    </row>
    <row r="982" spans="4:7" ht="23.25" customHeight="1" x14ac:dyDescent="0.3">
      <c r="D982" s="9"/>
      <c r="G982" s="9"/>
    </row>
    <row r="983" spans="4:7" ht="23.25" customHeight="1" x14ac:dyDescent="0.3">
      <c r="D983" s="9"/>
      <c r="G983" s="9"/>
    </row>
    <row r="984" spans="4:7" ht="23.25" customHeight="1" x14ac:dyDescent="0.3">
      <c r="D984" s="9"/>
      <c r="G984" s="9"/>
    </row>
    <row r="985" spans="4:7" ht="23.25" customHeight="1" x14ac:dyDescent="0.3">
      <c r="D985" s="9"/>
      <c r="G985" s="9"/>
    </row>
    <row r="986" spans="4:7" ht="23.25" customHeight="1" x14ac:dyDescent="0.3">
      <c r="D986" s="9"/>
      <c r="G986" s="9"/>
    </row>
    <row r="987" spans="4:7" ht="23.25" customHeight="1" x14ac:dyDescent="0.3">
      <c r="D987" s="9"/>
      <c r="G987" s="9"/>
    </row>
    <row r="988" spans="4:7" ht="23.25" customHeight="1" x14ac:dyDescent="0.3">
      <c r="D988" s="9"/>
      <c r="G988" s="9"/>
    </row>
    <row r="989" spans="4:7" ht="23.25" customHeight="1" x14ac:dyDescent="0.3">
      <c r="D989" s="9"/>
      <c r="G989" s="9"/>
    </row>
    <row r="990" spans="4:7" ht="23.25" customHeight="1" x14ac:dyDescent="0.3">
      <c r="D990" s="9"/>
      <c r="G990" s="9"/>
    </row>
    <row r="991" spans="4:7" ht="23.25" customHeight="1" x14ac:dyDescent="0.3">
      <c r="D991" s="9"/>
      <c r="G991" s="9"/>
    </row>
    <row r="992" spans="4:7" ht="23.25" customHeight="1" x14ac:dyDescent="0.3">
      <c r="D992" s="9"/>
      <c r="G992" s="9"/>
    </row>
    <row r="993" spans="4:7" ht="23.25" customHeight="1" x14ac:dyDescent="0.3">
      <c r="D993" s="9"/>
      <c r="G993" s="9"/>
    </row>
    <row r="994" spans="4:7" ht="23.25" customHeight="1" x14ac:dyDescent="0.3">
      <c r="D994" s="9"/>
      <c r="G994" s="9"/>
    </row>
    <row r="995" spans="4:7" ht="23.25" customHeight="1" x14ac:dyDescent="0.3">
      <c r="D995" s="9"/>
      <c r="G995" s="9"/>
    </row>
    <row r="996" spans="4:7" ht="23.25" customHeight="1" x14ac:dyDescent="0.3">
      <c r="D996" s="9"/>
      <c r="G996" s="9"/>
    </row>
    <row r="997" spans="4:7" ht="23.25" customHeight="1" x14ac:dyDescent="0.3">
      <c r="D997" s="9"/>
      <c r="G997" s="9"/>
    </row>
    <row r="998" spans="4:7" ht="23.25" customHeight="1" x14ac:dyDescent="0.3">
      <c r="D998" s="9"/>
      <c r="G998" s="9"/>
    </row>
    <row r="999" spans="4:7" ht="23.25" customHeight="1" x14ac:dyDescent="0.3">
      <c r="D999" s="9"/>
      <c r="G999" s="9"/>
    </row>
    <row r="1000" spans="4:7" ht="23.25" customHeight="1" x14ac:dyDescent="0.3">
      <c r="D1000" s="9"/>
      <c r="G1000" s="9"/>
    </row>
  </sheetData>
  <printOptions horizontalCentered="1" verticalCentered="1"/>
  <pageMargins left="0.23622047244094491" right="0.23622047244094491" top="0.19685039370078741" bottom="0.19685039370078741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:J1000"/>
  <sheetViews>
    <sheetView showGridLines="0" workbookViewId="0"/>
  </sheetViews>
  <sheetFormatPr defaultColWidth="14.44140625" defaultRowHeight="15" customHeight="1" x14ac:dyDescent="0.3"/>
  <cols>
    <col min="1" max="1" width="36.33203125" customWidth="1"/>
    <col min="2" max="2" width="18.6640625" customWidth="1"/>
    <col min="3" max="3" width="43.88671875" customWidth="1"/>
    <col min="4" max="4" width="13.88671875" customWidth="1"/>
    <col min="5" max="5" width="11.5546875" customWidth="1"/>
    <col min="6" max="6" width="17" customWidth="1"/>
    <col min="7" max="7" width="12.6640625" customWidth="1"/>
    <col min="8" max="8" width="14.5546875" customWidth="1"/>
    <col min="9" max="9" width="13.88671875" customWidth="1"/>
    <col min="10" max="10" width="13.6640625" customWidth="1"/>
    <col min="11" max="26" width="8.6640625" customWidth="1"/>
  </cols>
  <sheetData>
    <row r="1" spans="1:10" ht="39" customHeight="1" x14ac:dyDescent="0.4">
      <c r="A1" s="19"/>
      <c r="B1" s="19"/>
      <c r="C1" s="8">
        <v>45889</v>
      </c>
      <c r="D1" s="13"/>
      <c r="E1" s="19"/>
      <c r="F1" s="19"/>
      <c r="G1" s="13"/>
      <c r="H1" s="19"/>
      <c r="I1" s="19"/>
      <c r="J1" s="19"/>
    </row>
    <row r="2" spans="1:10" ht="18" customHeight="1" x14ac:dyDescent="0.4">
      <c r="A2" s="10" t="str">
        <f>'Porta Guilhotina'!A2 &amp; " " &amp; 'Porta Guilhotina'!B2</f>
        <v>Orçamento 213</v>
      </c>
      <c r="B2" s="11"/>
      <c r="C2" s="36" t="str">
        <f>'Porta Guilhotina'!B3</f>
        <v>Duglas</v>
      </c>
      <c r="D2" s="13"/>
      <c r="E2" s="19"/>
      <c r="F2" s="37"/>
      <c r="G2" s="13" t="s">
        <v>39</v>
      </c>
      <c r="H2" s="19"/>
      <c r="I2" s="19"/>
      <c r="J2" s="19"/>
    </row>
    <row r="3" spans="1:10" ht="18" customHeight="1" x14ac:dyDescent="0.4">
      <c r="A3" s="10" t="s">
        <v>5</v>
      </c>
      <c r="B3" s="11"/>
      <c r="C3" s="17" t="str">
        <f>'Porta Guilhotina'!G8</f>
        <v>4x 75cm + 4x 70cm</v>
      </c>
      <c r="D3" s="13"/>
      <c r="E3" s="19"/>
      <c r="F3" s="19"/>
      <c r="G3" s="13"/>
      <c r="H3" s="19"/>
      <c r="I3" s="19"/>
      <c r="J3" s="19"/>
    </row>
    <row r="4" spans="1:10" ht="18" customHeight="1" x14ac:dyDescent="0.4">
      <c r="A4" s="10" t="s">
        <v>2</v>
      </c>
      <c r="B4" s="11"/>
      <c r="C4" s="17" t="str">
        <f>'Porta Guilhotina'!D8</f>
        <v>4x 133,5 cm</v>
      </c>
      <c r="D4" s="13"/>
      <c r="E4" s="19"/>
      <c r="F4" s="15" t="s">
        <v>38</v>
      </c>
      <c r="G4" s="38"/>
      <c r="H4" s="19"/>
      <c r="I4" s="13"/>
      <c r="J4" s="19"/>
    </row>
    <row r="5" spans="1:10" ht="18" customHeight="1" x14ac:dyDescent="0.4">
      <c r="A5" s="10" t="s">
        <v>6</v>
      </c>
      <c r="B5" s="11"/>
      <c r="C5" s="17" t="str">
        <f>'Porta Guilhotina'!H8</f>
        <v>1x 144,5 cm + 2x 70 cm</v>
      </c>
      <c r="D5" s="13"/>
      <c r="E5" s="19"/>
      <c r="F5" s="19"/>
      <c r="G5" s="13"/>
      <c r="H5" s="19"/>
      <c r="I5" s="19"/>
      <c r="J5" s="19"/>
    </row>
    <row r="6" spans="1:10" ht="18" customHeight="1" x14ac:dyDescent="0.4">
      <c r="A6" s="10" t="s">
        <v>4</v>
      </c>
      <c r="B6" s="11"/>
      <c r="C6" s="17" t="e">
        <f ca="1">'Porta Guilhotina'!F8</f>
        <v>#NAME?</v>
      </c>
      <c r="D6" s="13"/>
      <c r="E6" s="19"/>
      <c r="F6" s="19"/>
      <c r="G6" s="13"/>
      <c r="H6" s="19"/>
      <c r="I6" s="19"/>
      <c r="J6" s="19"/>
    </row>
    <row r="7" spans="1:10" ht="18" customHeight="1" x14ac:dyDescent="0.4">
      <c r="A7" s="10" t="s">
        <v>7</v>
      </c>
      <c r="B7" s="11"/>
      <c r="C7" s="17" t="str">
        <f>'Porta Guilhotina'!I8</f>
        <v>4x 65cm + 4x 72,5cm + 4x 62 cm + 4x 67 cm</v>
      </c>
      <c r="D7" s="13"/>
      <c r="E7" s="19"/>
      <c r="F7" s="19"/>
      <c r="G7" s="9">
        <f>'Porta Guilhotina'!B15</f>
        <v>136</v>
      </c>
      <c r="H7" s="19"/>
      <c r="I7" s="19"/>
      <c r="J7" s="19"/>
    </row>
    <row r="8" spans="1:10" ht="18" customHeight="1" x14ac:dyDescent="0.4">
      <c r="A8" s="10" t="s">
        <v>3</v>
      </c>
      <c r="B8" s="11"/>
      <c r="C8" s="17" t="str">
        <f>'Porta Guilhotina'!E8</f>
        <v>1 Peça de 144,5 cm + 2 Peças de 74 cm</v>
      </c>
      <c r="D8" s="13"/>
      <c r="E8" s="19"/>
      <c r="F8" s="19"/>
      <c r="G8" s="13"/>
      <c r="H8" s="19"/>
      <c r="I8" s="19"/>
      <c r="J8" s="19"/>
    </row>
    <row r="9" spans="1:10" ht="18" customHeight="1" x14ac:dyDescent="0.4">
      <c r="A9" s="10" t="str">
        <f>'Porta Guilhotina'!A10</f>
        <v>Pedra instalada</v>
      </c>
      <c r="B9" s="11"/>
      <c r="C9" s="17" t="str">
        <f>'Porta Guilhotina'!B10</f>
        <v>Não</v>
      </c>
      <c r="D9" s="13"/>
      <c r="E9" s="19"/>
      <c r="F9" s="19"/>
      <c r="G9" s="13"/>
      <c r="H9" s="19"/>
      <c r="I9" s="19"/>
      <c r="J9" s="19"/>
    </row>
    <row r="10" spans="1:10" ht="15" customHeight="1" x14ac:dyDescent="0.3">
      <c r="A10" s="21"/>
      <c r="B10" s="21"/>
      <c r="C10" s="21"/>
      <c r="D10" s="9"/>
      <c r="G10" s="9"/>
    </row>
    <row r="11" spans="1:10" ht="15" customHeight="1" x14ac:dyDescent="0.3">
      <c r="A11" s="21"/>
      <c r="B11" s="21"/>
      <c r="C11" s="21"/>
      <c r="D11" s="9"/>
      <c r="G11" s="9"/>
    </row>
    <row r="12" spans="1:10" ht="23.25" customHeight="1" x14ac:dyDescent="0.3">
      <c r="C12" s="22"/>
      <c r="D12" s="9"/>
      <c r="G12" s="9"/>
    </row>
    <row r="13" spans="1:10" ht="23.25" customHeight="1" x14ac:dyDescent="0.3">
      <c r="D13" s="9"/>
      <c r="G13" s="23"/>
    </row>
    <row r="14" spans="1:10" ht="23.25" customHeight="1" x14ac:dyDescent="0.3">
      <c r="D14" s="9"/>
      <c r="G14" s="9"/>
    </row>
    <row r="15" spans="1:10" ht="23.25" customHeight="1" x14ac:dyDescent="0.3">
      <c r="D15" s="28">
        <f>'Porta Guilhotina'!B14</f>
        <v>75</v>
      </c>
      <c r="G15" s="9"/>
    </row>
    <row r="16" spans="1:10" ht="23.25" customHeight="1" x14ac:dyDescent="0.3">
      <c r="D16" s="9"/>
      <c r="G16" s="9"/>
    </row>
    <row r="17" spans="1:7" ht="23.25" customHeight="1" x14ac:dyDescent="0.3">
      <c r="C17" s="33"/>
      <c r="D17" s="9"/>
      <c r="G17" s="9"/>
    </row>
    <row r="18" spans="1:7" ht="23.25" customHeight="1" x14ac:dyDescent="0.3">
      <c r="D18" s="9"/>
      <c r="G18" s="9"/>
    </row>
    <row r="19" spans="1:7" ht="23.25" customHeight="1" x14ac:dyDescent="0.3">
      <c r="D19" s="9"/>
      <c r="G19" s="9"/>
    </row>
    <row r="20" spans="1:7" ht="23.25" customHeight="1" x14ac:dyDescent="0.3">
      <c r="C20" s="24" t="str">
        <f>'Porta Guilhotina'!B5</f>
        <v>210,5</v>
      </c>
      <c r="D20" s="9"/>
      <c r="G20" s="9"/>
    </row>
    <row r="21" spans="1:7" ht="23.25" customHeight="1" x14ac:dyDescent="0.3">
      <c r="D21" s="22"/>
      <c r="G21" s="9"/>
    </row>
    <row r="22" spans="1:7" ht="23.25" customHeight="1" x14ac:dyDescent="0.3">
      <c r="D22" s="9"/>
      <c r="G22" s="9"/>
    </row>
    <row r="23" spans="1:7" ht="23.25" customHeight="1" x14ac:dyDescent="0.3">
      <c r="A23" s="25"/>
      <c r="B23" s="25"/>
      <c r="D23" s="9"/>
      <c r="G23" s="9">
        <f>'Porta Guilhotina'!B18</f>
        <v>66.5</v>
      </c>
    </row>
    <row r="24" spans="1:7" ht="23.25" customHeight="1" x14ac:dyDescent="0.3">
      <c r="D24" s="9"/>
      <c r="G24" s="9"/>
    </row>
    <row r="25" spans="1:7" ht="23.25" customHeight="1" x14ac:dyDescent="0.3">
      <c r="D25" s="9"/>
      <c r="G25" s="9"/>
    </row>
    <row r="26" spans="1:7" ht="23.25" customHeight="1" x14ac:dyDescent="0.6">
      <c r="A26" s="39" t="str">
        <f>'Porta Guilhotina'!B6</f>
        <v>144,5</v>
      </c>
      <c r="D26" s="9"/>
      <c r="G26" s="9"/>
    </row>
    <row r="27" spans="1:7" ht="23.25" customHeight="1" x14ac:dyDescent="0.3">
      <c r="D27" s="9"/>
      <c r="G27" s="9"/>
    </row>
    <row r="28" spans="1:7" ht="23.25" customHeight="1" x14ac:dyDescent="0.45">
      <c r="D28" s="9"/>
      <c r="E28" s="35">
        <f>'Porta Guilhotina'!B17</f>
        <v>61.5</v>
      </c>
      <c r="G28" s="9"/>
    </row>
    <row r="29" spans="1:7" ht="23.25" customHeight="1" x14ac:dyDescent="0.3">
      <c r="C29" s="26">
        <f>'Porta Guilhotina'!B7</f>
        <v>78</v>
      </c>
      <c r="D29" s="9"/>
      <c r="G29" s="9"/>
    </row>
    <row r="30" spans="1:7" ht="23.25" customHeight="1" x14ac:dyDescent="0.3">
      <c r="D30" s="9"/>
      <c r="G30" s="9"/>
    </row>
    <row r="31" spans="1:7" ht="23.25" customHeight="1" x14ac:dyDescent="0.3">
      <c r="A31" s="26"/>
      <c r="D31" s="9"/>
      <c r="G31" s="9"/>
    </row>
    <row r="32" spans="1:7" ht="23.25" customHeight="1" x14ac:dyDescent="0.3">
      <c r="D32" s="9"/>
      <c r="G32" s="9"/>
    </row>
    <row r="33" spans="1:9" ht="23.25" customHeight="1" x14ac:dyDescent="0.55000000000000004">
      <c r="A33" s="34"/>
      <c r="D33" s="9"/>
      <c r="G33" s="9"/>
      <c r="I33" s="29"/>
    </row>
    <row r="34" spans="1:9" ht="23.25" customHeight="1" x14ac:dyDescent="0.3">
      <c r="D34" s="9"/>
      <c r="G34" s="9"/>
    </row>
    <row r="35" spans="1:9" ht="23.25" customHeight="1" x14ac:dyDescent="0.3">
      <c r="C35" s="30"/>
      <c r="D35" s="9"/>
      <c r="G35" s="9"/>
    </row>
    <row r="36" spans="1:9" ht="23.25" customHeight="1" x14ac:dyDescent="0.3">
      <c r="D36" s="9"/>
      <c r="G36" s="9"/>
    </row>
    <row r="37" spans="1:9" ht="23.25" customHeight="1" x14ac:dyDescent="0.3">
      <c r="D37" s="9"/>
      <c r="G37" s="9"/>
    </row>
    <row r="38" spans="1:9" ht="23.25" customHeight="1" x14ac:dyDescent="0.3">
      <c r="D38" s="9"/>
      <c r="G38" s="9"/>
    </row>
    <row r="39" spans="1:9" ht="23.25" customHeight="1" x14ac:dyDescent="0.3">
      <c r="D39" s="9"/>
      <c r="G39" s="9"/>
    </row>
    <row r="40" spans="1:9" ht="23.25" customHeight="1" x14ac:dyDescent="0.3">
      <c r="D40" s="9"/>
      <c r="G40" s="9"/>
    </row>
    <row r="41" spans="1:9" ht="23.25" customHeight="1" x14ac:dyDescent="0.3">
      <c r="D41" s="9"/>
      <c r="G41" s="9"/>
    </row>
    <row r="42" spans="1:9" ht="23.25" customHeight="1" x14ac:dyDescent="0.3">
      <c r="D42" s="9"/>
      <c r="G42" s="9"/>
    </row>
    <row r="43" spans="1:9" ht="23.25" customHeight="1" x14ac:dyDescent="0.3">
      <c r="D43" s="9"/>
      <c r="G43" s="9"/>
    </row>
    <row r="44" spans="1:9" ht="23.25" customHeight="1" x14ac:dyDescent="0.3">
      <c r="D44" s="9"/>
      <c r="G44" s="9"/>
    </row>
    <row r="45" spans="1:9" ht="23.25" customHeight="1" x14ac:dyDescent="0.3">
      <c r="D45" s="9"/>
      <c r="G45" s="9"/>
    </row>
    <row r="46" spans="1:9" ht="23.25" customHeight="1" x14ac:dyDescent="0.3">
      <c r="D46" s="9"/>
      <c r="G46" s="9"/>
    </row>
    <row r="47" spans="1:9" ht="23.25" customHeight="1" x14ac:dyDescent="0.3">
      <c r="D47" s="9"/>
      <c r="G47" s="9"/>
    </row>
    <row r="48" spans="1:9" ht="23.25" customHeight="1" x14ac:dyDescent="0.3">
      <c r="D48" s="9"/>
      <c r="G48" s="9"/>
    </row>
    <row r="49" spans="4:7" ht="23.25" customHeight="1" x14ac:dyDescent="0.3">
      <c r="D49" s="9"/>
      <c r="G49" s="9"/>
    </row>
    <row r="50" spans="4:7" ht="23.25" customHeight="1" x14ac:dyDescent="0.3">
      <c r="D50" s="9"/>
      <c r="G50" s="9"/>
    </row>
    <row r="51" spans="4:7" ht="23.25" customHeight="1" x14ac:dyDescent="0.3">
      <c r="D51" s="9"/>
      <c r="G51" s="9"/>
    </row>
    <row r="52" spans="4:7" ht="23.25" customHeight="1" x14ac:dyDescent="0.3">
      <c r="D52" s="9"/>
      <c r="G52" s="9"/>
    </row>
    <row r="53" spans="4:7" ht="23.25" customHeight="1" x14ac:dyDescent="0.3">
      <c r="D53" s="9"/>
      <c r="G53" s="9"/>
    </row>
    <row r="54" spans="4:7" ht="23.25" customHeight="1" x14ac:dyDescent="0.3">
      <c r="D54" s="9"/>
      <c r="G54" s="9"/>
    </row>
    <row r="55" spans="4:7" ht="23.25" customHeight="1" x14ac:dyDescent="0.3">
      <c r="D55" s="9"/>
      <c r="G55" s="9"/>
    </row>
    <row r="56" spans="4:7" ht="23.25" customHeight="1" x14ac:dyDescent="0.3">
      <c r="D56" s="9"/>
      <c r="G56" s="9"/>
    </row>
    <row r="57" spans="4:7" ht="23.25" customHeight="1" x14ac:dyDescent="0.3">
      <c r="D57" s="9"/>
      <c r="G57" s="9"/>
    </row>
    <row r="58" spans="4:7" ht="23.25" customHeight="1" x14ac:dyDescent="0.3">
      <c r="D58" s="9"/>
      <c r="G58" s="9"/>
    </row>
    <row r="59" spans="4:7" ht="23.25" customHeight="1" x14ac:dyDescent="0.3">
      <c r="D59" s="9"/>
      <c r="G59" s="9"/>
    </row>
    <row r="60" spans="4:7" ht="23.25" customHeight="1" x14ac:dyDescent="0.3">
      <c r="D60" s="9"/>
      <c r="G60" s="9"/>
    </row>
    <row r="61" spans="4:7" ht="23.25" customHeight="1" x14ac:dyDescent="0.3">
      <c r="D61" s="9"/>
      <c r="G61" s="9"/>
    </row>
    <row r="62" spans="4:7" ht="23.25" customHeight="1" x14ac:dyDescent="0.3">
      <c r="D62" s="9"/>
      <c r="G62" s="9"/>
    </row>
    <row r="63" spans="4:7" ht="23.25" customHeight="1" x14ac:dyDescent="0.3">
      <c r="D63" s="9"/>
      <c r="G63" s="9"/>
    </row>
    <row r="64" spans="4:7" ht="23.25" customHeight="1" x14ac:dyDescent="0.3">
      <c r="D64" s="9"/>
      <c r="G64" s="9"/>
    </row>
    <row r="65" spans="4:7" ht="23.25" customHeight="1" x14ac:dyDescent="0.3">
      <c r="D65" s="9"/>
      <c r="G65" s="9"/>
    </row>
    <row r="66" spans="4:7" ht="23.25" customHeight="1" x14ac:dyDescent="0.3">
      <c r="D66" s="9"/>
      <c r="G66" s="9"/>
    </row>
    <row r="67" spans="4:7" ht="23.25" customHeight="1" x14ac:dyDescent="0.3">
      <c r="D67" s="9"/>
      <c r="G67" s="9"/>
    </row>
    <row r="68" spans="4:7" ht="23.25" customHeight="1" x14ac:dyDescent="0.3">
      <c r="D68" s="9"/>
      <c r="G68" s="9"/>
    </row>
    <row r="69" spans="4:7" ht="23.25" customHeight="1" x14ac:dyDescent="0.3">
      <c r="D69" s="9"/>
      <c r="G69" s="9"/>
    </row>
    <row r="70" spans="4:7" ht="23.25" customHeight="1" x14ac:dyDescent="0.3">
      <c r="D70" s="9"/>
      <c r="G70" s="9"/>
    </row>
    <row r="71" spans="4:7" ht="23.25" customHeight="1" x14ac:dyDescent="0.3">
      <c r="D71" s="9"/>
      <c r="G71" s="9"/>
    </row>
    <row r="72" spans="4:7" ht="23.25" customHeight="1" x14ac:dyDescent="0.3">
      <c r="D72" s="9"/>
      <c r="G72" s="9"/>
    </row>
    <row r="73" spans="4:7" ht="23.25" customHeight="1" x14ac:dyDescent="0.3">
      <c r="D73" s="9"/>
      <c r="G73" s="9"/>
    </row>
    <row r="74" spans="4:7" ht="23.25" customHeight="1" x14ac:dyDescent="0.3">
      <c r="D74" s="9"/>
      <c r="G74" s="9"/>
    </row>
    <row r="75" spans="4:7" ht="23.25" customHeight="1" x14ac:dyDescent="0.3">
      <c r="D75" s="9"/>
      <c r="G75" s="9"/>
    </row>
    <row r="76" spans="4:7" ht="23.25" customHeight="1" x14ac:dyDescent="0.3">
      <c r="D76" s="9"/>
      <c r="G76" s="9"/>
    </row>
    <row r="77" spans="4:7" ht="23.25" customHeight="1" x14ac:dyDescent="0.3">
      <c r="D77" s="9"/>
      <c r="G77" s="9"/>
    </row>
    <row r="78" spans="4:7" ht="23.25" customHeight="1" x14ac:dyDescent="0.3">
      <c r="D78" s="9"/>
      <c r="G78" s="9"/>
    </row>
    <row r="79" spans="4:7" ht="23.25" customHeight="1" x14ac:dyDescent="0.3">
      <c r="D79" s="9"/>
      <c r="G79" s="9"/>
    </row>
    <row r="80" spans="4:7" ht="23.25" customHeight="1" x14ac:dyDescent="0.3">
      <c r="D80" s="9"/>
      <c r="G80" s="9"/>
    </row>
    <row r="81" spans="4:7" ht="23.25" customHeight="1" x14ac:dyDescent="0.3">
      <c r="D81" s="9"/>
      <c r="G81" s="9"/>
    </row>
    <row r="82" spans="4:7" ht="23.25" customHeight="1" x14ac:dyDescent="0.3">
      <c r="D82" s="9"/>
      <c r="G82" s="9"/>
    </row>
    <row r="83" spans="4:7" ht="23.25" customHeight="1" x14ac:dyDescent="0.3">
      <c r="D83" s="9"/>
      <c r="G83" s="9"/>
    </row>
    <row r="84" spans="4:7" ht="23.25" customHeight="1" x14ac:dyDescent="0.3">
      <c r="D84" s="9"/>
      <c r="G84" s="9"/>
    </row>
    <row r="85" spans="4:7" ht="23.25" customHeight="1" x14ac:dyDescent="0.3">
      <c r="D85" s="9"/>
      <c r="G85" s="9"/>
    </row>
    <row r="86" spans="4:7" ht="23.25" customHeight="1" x14ac:dyDescent="0.3">
      <c r="D86" s="9"/>
      <c r="G86" s="9"/>
    </row>
    <row r="87" spans="4:7" ht="23.25" customHeight="1" x14ac:dyDescent="0.3">
      <c r="D87" s="9"/>
      <c r="G87" s="9"/>
    </row>
    <row r="88" spans="4:7" ht="23.25" customHeight="1" x14ac:dyDescent="0.3">
      <c r="D88" s="9"/>
      <c r="G88" s="9"/>
    </row>
    <row r="89" spans="4:7" ht="23.25" customHeight="1" x14ac:dyDescent="0.3">
      <c r="D89" s="9"/>
      <c r="G89" s="9"/>
    </row>
    <row r="90" spans="4:7" ht="23.25" customHeight="1" x14ac:dyDescent="0.3">
      <c r="D90" s="9"/>
      <c r="G90" s="9"/>
    </row>
    <row r="91" spans="4:7" ht="23.25" customHeight="1" x14ac:dyDescent="0.3">
      <c r="D91" s="9"/>
      <c r="G91" s="9"/>
    </row>
    <row r="92" spans="4:7" ht="23.25" customHeight="1" x14ac:dyDescent="0.3">
      <c r="D92" s="9"/>
      <c r="G92" s="9"/>
    </row>
    <row r="93" spans="4:7" ht="23.25" customHeight="1" x14ac:dyDescent="0.3">
      <c r="D93" s="9"/>
      <c r="G93" s="9"/>
    </row>
    <row r="94" spans="4:7" ht="23.25" customHeight="1" x14ac:dyDescent="0.3">
      <c r="D94" s="9"/>
      <c r="G94" s="9"/>
    </row>
    <row r="95" spans="4:7" ht="23.25" customHeight="1" x14ac:dyDescent="0.3">
      <c r="D95" s="9"/>
      <c r="G95" s="9"/>
    </row>
    <row r="96" spans="4:7" ht="23.25" customHeight="1" x14ac:dyDescent="0.3">
      <c r="D96" s="9"/>
      <c r="G96" s="9"/>
    </row>
    <row r="97" spans="4:7" ht="23.25" customHeight="1" x14ac:dyDescent="0.3">
      <c r="D97" s="9"/>
      <c r="G97" s="9"/>
    </row>
    <row r="98" spans="4:7" ht="23.25" customHeight="1" x14ac:dyDescent="0.3">
      <c r="D98" s="9"/>
      <c r="G98" s="9"/>
    </row>
    <row r="99" spans="4:7" ht="23.25" customHeight="1" x14ac:dyDescent="0.3">
      <c r="D99" s="9"/>
      <c r="G99" s="9"/>
    </row>
    <row r="100" spans="4:7" ht="23.25" customHeight="1" x14ac:dyDescent="0.3">
      <c r="D100" s="9"/>
      <c r="G100" s="9"/>
    </row>
    <row r="101" spans="4:7" ht="23.25" customHeight="1" x14ac:dyDescent="0.3">
      <c r="D101" s="9"/>
      <c r="G101" s="9"/>
    </row>
    <row r="102" spans="4:7" ht="23.25" customHeight="1" x14ac:dyDescent="0.3">
      <c r="D102" s="9"/>
      <c r="G102" s="9"/>
    </row>
    <row r="103" spans="4:7" ht="23.25" customHeight="1" x14ac:dyDescent="0.3">
      <c r="D103" s="9"/>
      <c r="G103" s="9"/>
    </row>
    <row r="104" spans="4:7" ht="23.25" customHeight="1" x14ac:dyDescent="0.3">
      <c r="D104" s="9"/>
      <c r="G104" s="9"/>
    </row>
    <row r="105" spans="4:7" ht="23.25" customHeight="1" x14ac:dyDescent="0.3">
      <c r="D105" s="9"/>
      <c r="G105" s="9"/>
    </row>
    <row r="106" spans="4:7" ht="23.25" customHeight="1" x14ac:dyDescent="0.3">
      <c r="D106" s="9"/>
      <c r="G106" s="9"/>
    </row>
    <row r="107" spans="4:7" ht="23.25" customHeight="1" x14ac:dyDescent="0.3">
      <c r="D107" s="9"/>
      <c r="G107" s="9"/>
    </row>
    <row r="108" spans="4:7" ht="23.25" customHeight="1" x14ac:dyDescent="0.3">
      <c r="D108" s="9"/>
      <c r="G108" s="9"/>
    </row>
    <row r="109" spans="4:7" ht="23.25" customHeight="1" x14ac:dyDescent="0.3">
      <c r="D109" s="9"/>
      <c r="G109" s="9"/>
    </row>
    <row r="110" spans="4:7" ht="23.25" customHeight="1" x14ac:dyDescent="0.3">
      <c r="D110" s="9"/>
      <c r="G110" s="9"/>
    </row>
    <row r="111" spans="4:7" ht="23.25" customHeight="1" x14ac:dyDescent="0.3">
      <c r="D111" s="9"/>
      <c r="G111" s="9"/>
    </row>
    <row r="112" spans="4:7" ht="23.25" customHeight="1" x14ac:dyDescent="0.3">
      <c r="D112" s="9"/>
      <c r="G112" s="9"/>
    </row>
    <row r="113" spans="4:7" ht="23.25" customHeight="1" x14ac:dyDescent="0.3">
      <c r="D113" s="9"/>
      <c r="G113" s="9"/>
    </row>
    <row r="114" spans="4:7" ht="23.25" customHeight="1" x14ac:dyDescent="0.3">
      <c r="D114" s="9"/>
      <c r="G114" s="9"/>
    </row>
    <row r="115" spans="4:7" ht="23.25" customHeight="1" x14ac:dyDescent="0.3">
      <c r="D115" s="9"/>
      <c r="G115" s="9"/>
    </row>
    <row r="116" spans="4:7" ht="23.25" customHeight="1" x14ac:dyDescent="0.3">
      <c r="D116" s="9"/>
      <c r="G116" s="9"/>
    </row>
    <row r="117" spans="4:7" ht="23.25" customHeight="1" x14ac:dyDescent="0.3">
      <c r="D117" s="9"/>
      <c r="G117" s="9"/>
    </row>
    <row r="118" spans="4:7" ht="23.25" customHeight="1" x14ac:dyDescent="0.3">
      <c r="D118" s="9"/>
      <c r="G118" s="9"/>
    </row>
    <row r="119" spans="4:7" ht="23.25" customHeight="1" x14ac:dyDescent="0.3">
      <c r="D119" s="9"/>
      <c r="G119" s="9"/>
    </row>
    <row r="120" spans="4:7" ht="23.25" customHeight="1" x14ac:dyDescent="0.3">
      <c r="D120" s="9"/>
      <c r="G120" s="9"/>
    </row>
    <row r="121" spans="4:7" ht="23.25" customHeight="1" x14ac:dyDescent="0.3">
      <c r="D121" s="9"/>
      <c r="G121" s="9"/>
    </row>
    <row r="122" spans="4:7" ht="23.25" customHeight="1" x14ac:dyDescent="0.3">
      <c r="D122" s="9"/>
      <c r="G122" s="9"/>
    </row>
    <row r="123" spans="4:7" ht="23.25" customHeight="1" x14ac:dyDescent="0.3">
      <c r="D123" s="9"/>
      <c r="G123" s="9"/>
    </row>
    <row r="124" spans="4:7" ht="23.25" customHeight="1" x14ac:dyDescent="0.3">
      <c r="D124" s="9"/>
      <c r="G124" s="9"/>
    </row>
    <row r="125" spans="4:7" ht="23.25" customHeight="1" x14ac:dyDescent="0.3">
      <c r="D125" s="9"/>
      <c r="G125" s="9"/>
    </row>
    <row r="126" spans="4:7" ht="23.25" customHeight="1" x14ac:dyDescent="0.3">
      <c r="D126" s="9"/>
      <c r="G126" s="9"/>
    </row>
    <row r="127" spans="4:7" ht="23.25" customHeight="1" x14ac:dyDescent="0.3">
      <c r="D127" s="9"/>
      <c r="G127" s="9"/>
    </row>
    <row r="128" spans="4:7" ht="23.25" customHeight="1" x14ac:dyDescent="0.3">
      <c r="D128" s="9"/>
      <c r="G128" s="9"/>
    </row>
    <row r="129" spans="4:7" ht="23.25" customHeight="1" x14ac:dyDescent="0.3">
      <c r="D129" s="9"/>
      <c r="G129" s="9"/>
    </row>
    <row r="130" spans="4:7" ht="23.25" customHeight="1" x14ac:dyDescent="0.3">
      <c r="D130" s="9"/>
      <c r="G130" s="9"/>
    </row>
    <row r="131" spans="4:7" ht="23.25" customHeight="1" x14ac:dyDescent="0.3">
      <c r="D131" s="9"/>
      <c r="G131" s="9"/>
    </row>
    <row r="132" spans="4:7" ht="23.25" customHeight="1" x14ac:dyDescent="0.3">
      <c r="D132" s="9"/>
      <c r="G132" s="9"/>
    </row>
    <row r="133" spans="4:7" ht="23.25" customHeight="1" x14ac:dyDescent="0.3">
      <c r="D133" s="9"/>
      <c r="G133" s="9"/>
    </row>
    <row r="134" spans="4:7" ht="23.25" customHeight="1" x14ac:dyDescent="0.3">
      <c r="D134" s="9"/>
      <c r="G134" s="9"/>
    </row>
    <row r="135" spans="4:7" ht="23.25" customHeight="1" x14ac:dyDescent="0.3">
      <c r="D135" s="9"/>
      <c r="G135" s="9"/>
    </row>
    <row r="136" spans="4:7" ht="23.25" customHeight="1" x14ac:dyDescent="0.3">
      <c r="D136" s="9"/>
      <c r="G136" s="9"/>
    </row>
    <row r="137" spans="4:7" ht="23.25" customHeight="1" x14ac:dyDescent="0.3">
      <c r="D137" s="9"/>
      <c r="G137" s="9"/>
    </row>
    <row r="138" spans="4:7" ht="23.25" customHeight="1" x14ac:dyDescent="0.3">
      <c r="D138" s="9"/>
      <c r="G138" s="9"/>
    </row>
    <row r="139" spans="4:7" ht="23.25" customHeight="1" x14ac:dyDescent="0.3">
      <c r="D139" s="9"/>
      <c r="G139" s="9"/>
    </row>
    <row r="140" spans="4:7" ht="23.25" customHeight="1" x14ac:dyDescent="0.3">
      <c r="D140" s="9"/>
      <c r="G140" s="9"/>
    </row>
    <row r="141" spans="4:7" ht="23.25" customHeight="1" x14ac:dyDescent="0.3">
      <c r="D141" s="9"/>
      <c r="G141" s="9"/>
    </row>
    <row r="142" spans="4:7" ht="23.25" customHeight="1" x14ac:dyDescent="0.3">
      <c r="D142" s="9"/>
      <c r="G142" s="9"/>
    </row>
    <row r="143" spans="4:7" ht="23.25" customHeight="1" x14ac:dyDescent="0.3">
      <c r="D143" s="9"/>
      <c r="G143" s="9"/>
    </row>
    <row r="144" spans="4:7" ht="23.25" customHeight="1" x14ac:dyDescent="0.3">
      <c r="D144" s="9"/>
      <c r="G144" s="9"/>
    </row>
    <row r="145" spans="4:7" ht="23.25" customHeight="1" x14ac:dyDescent="0.3">
      <c r="D145" s="9"/>
      <c r="G145" s="9"/>
    </row>
    <row r="146" spans="4:7" ht="23.25" customHeight="1" x14ac:dyDescent="0.3">
      <c r="D146" s="9"/>
      <c r="G146" s="9"/>
    </row>
    <row r="147" spans="4:7" ht="23.25" customHeight="1" x14ac:dyDescent="0.3">
      <c r="D147" s="9"/>
      <c r="G147" s="9"/>
    </row>
    <row r="148" spans="4:7" ht="23.25" customHeight="1" x14ac:dyDescent="0.3">
      <c r="D148" s="9"/>
      <c r="G148" s="9"/>
    </row>
    <row r="149" spans="4:7" ht="23.25" customHeight="1" x14ac:dyDescent="0.3">
      <c r="D149" s="9"/>
      <c r="G149" s="9"/>
    </row>
    <row r="150" spans="4:7" ht="23.25" customHeight="1" x14ac:dyDescent="0.3">
      <c r="D150" s="9"/>
      <c r="G150" s="9"/>
    </row>
    <row r="151" spans="4:7" ht="23.25" customHeight="1" x14ac:dyDescent="0.3">
      <c r="D151" s="9"/>
      <c r="G151" s="9"/>
    </row>
    <row r="152" spans="4:7" ht="23.25" customHeight="1" x14ac:dyDescent="0.3">
      <c r="D152" s="9"/>
      <c r="G152" s="9"/>
    </row>
    <row r="153" spans="4:7" ht="23.25" customHeight="1" x14ac:dyDescent="0.3">
      <c r="D153" s="9"/>
      <c r="G153" s="9"/>
    </row>
    <row r="154" spans="4:7" ht="23.25" customHeight="1" x14ac:dyDescent="0.3">
      <c r="D154" s="9"/>
      <c r="G154" s="9"/>
    </row>
    <row r="155" spans="4:7" ht="23.25" customHeight="1" x14ac:dyDescent="0.3">
      <c r="D155" s="9"/>
      <c r="G155" s="9"/>
    </row>
    <row r="156" spans="4:7" ht="23.25" customHeight="1" x14ac:dyDescent="0.3">
      <c r="D156" s="9"/>
      <c r="G156" s="9"/>
    </row>
    <row r="157" spans="4:7" ht="23.25" customHeight="1" x14ac:dyDescent="0.3">
      <c r="D157" s="9"/>
      <c r="G157" s="9"/>
    </row>
    <row r="158" spans="4:7" ht="23.25" customHeight="1" x14ac:dyDescent="0.3">
      <c r="D158" s="9"/>
      <c r="G158" s="9"/>
    </row>
    <row r="159" spans="4:7" ht="23.25" customHeight="1" x14ac:dyDescent="0.3">
      <c r="D159" s="9"/>
      <c r="G159" s="9"/>
    </row>
    <row r="160" spans="4:7" ht="23.25" customHeight="1" x14ac:dyDescent="0.3">
      <c r="D160" s="9"/>
      <c r="G160" s="9"/>
    </row>
    <row r="161" spans="4:7" ht="23.25" customHeight="1" x14ac:dyDescent="0.3">
      <c r="D161" s="9"/>
      <c r="G161" s="9"/>
    </row>
    <row r="162" spans="4:7" ht="23.25" customHeight="1" x14ac:dyDescent="0.3">
      <c r="D162" s="9"/>
      <c r="G162" s="9"/>
    </row>
    <row r="163" spans="4:7" ht="23.25" customHeight="1" x14ac:dyDescent="0.3">
      <c r="D163" s="9"/>
      <c r="G163" s="9"/>
    </row>
    <row r="164" spans="4:7" ht="23.25" customHeight="1" x14ac:dyDescent="0.3">
      <c r="D164" s="9"/>
      <c r="G164" s="9"/>
    </row>
    <row r="165" spans="4:7" ht="23.25" customHeight="1" x14ac:dyDescent="0.3">
      <c r="D165" s="9"/>
      <c r="G165" s="9"/>
    </row>
    <row r="166" spans="4:7" ht="23.25" customHeight="1" x14ac:dyDescent="0.3">
      <c r="D166" s="9"/>
      <c r="G166" s="9"/>
    </row>
    <row r="167" spans="4:7" ht="23.25" customHeight="1" x14ac:dyDescent="0.3">
      <c r="D167" s="9"/>
      <c r="G167" s="9"/>
    </row>
    <row r="168" spans="4:7" ht="23.25" customHeight="1" x14ac:dyDescent="0.3">
      <c r="D168" s="9"/>
      <c r="G168" s="9"/>
    </row>
    <row r="169" spans="4:7" ht="23.25" customHeight="1" x14ac:dyDescent="0.3">
      <c r="D169" s="9"/>
      <c r="G169" s="9"/>
    </row>
    <row r="170" spans="4:7" ht="23.25" customHeight="1" x14ac:dyDescent="0.3">
      <c r="D170" s="9"/>
      <c r="G170" s="9"/>
    </row>
    <row r="171" spans="4:7" ht="23.25" customHeight="1" x14ac:dyDescent="0.3">
      <c r="D171" s="9"/>
      <c r="G171" s="9"/>
    </row>
    <row r="172" spans="4:7" ht="23.25" customHeight="1" x14ac:dyDescent="0.3">
      <c r="D172" s="9"/>
      <c r="G172" s="9"/>
    </row>
    <row r="173" spans="4:7" ht="23.25" customHeight="1" x14ac:dyDescent="0.3">
      <c r="D173" s="9"/>
      <c r="G173" s="9"/>
    </row>
    <row r="174" spans="4:7" ht="23.25" customHeight="1" x14ac:dyDescent="0.3">
      <c r="D174" s="9"/>
      <c r="G174" s="9"/>
    </row>
    <row r="175" spans="4:7" ht="23.25" customHeight="1" x14ac:dyDescent="0.3">
      <c r="D175" s="9"/>
      <c r="G175" s="9"/>
    </row>
    <row r="176" spans="4:7" ht="23.25" customHeight="1" x14ac:dyDescent="0.3">
      <c r="D176" s="9"/>
      <c r="G176" s="9"/>
    </row>
    <row r="177" spans="4:7" ht="23.25" customHeight="1" x14ac:dyDescent="0.3">
      <c r="D177" s="9"/>
      <c r="G177" s="9"/>
    </row>
    <row r="178" spans="4:7" ht="23.25" customHeight="1" x14ac:dyDescent="0.3">
      <c r="D178" s="9"/>
      <c r="G178" s="9"/>
    </row>
    <row r="179" spans="4:7" ht="23.25" customHeight="1" x14ac:dyDescent="0.3">
      <c r="D179" s="9"/>
      <c r="G179" s="9"/>
    </row>
    <row r="180" spans="4:7" ht="23.25" customHeight="1" x14ac:dyDescent="0.3">
      <c r="D180" s="9"/>
      <c r="G180" s="9"/>
    </row>
    <row r="181" spans="4:7" ht="23.25" customHeight="1" x14ac:dyDescent="0.3">
      <c r="D181" s="9"/>
      <c r="G181" s="9"/>
    </row>
    <row r="182" spans="4:7" ht="23.25" customHeight="1" x14ac:dyDescent="0.3">
      <c r="D182" s="9"/>
      <c r="G182" s="9"/>
    </row>
    <row r="183" spans="4:7" ht="23.25" customHeight="1" x14ac:dyDescent="0.3">
      <c r="D183" s="9"/>
      <c r="G183" s="9"/>
    </row>
    <row r="184" spans="4:7" ht="23.25" customHeight="1" x14ac:dyDescent="0.3">
      <c r="D184" s="9"/>
      <c r="G184" s="9"/>
    </row>
    <row r="185" spans="4:7" ht="23.25" customHeight="1" x14ac:dyDescent="0.3">
      <c r="D185" s="9"/>
      <c r="G185" s="9"/>
    </row>
    <row r="186" spans="4:7" ht="23.25" customHeight="1" x14ac:dyDescent="0.3">
      <c r="D186" s="9"/>
      <c r="G186" s="9"/>
    </row>
    <row r="187" spans="4:7" ht="23.25" customHeight="1" x14ac:dyDescent="0.3">
      <c r="D187" s="9"/>
      <c r="G187" s="9"/>
    </row>
    <row r="188" spans="4:7" ht="23.25" customHeight="1" x14ac:dyDescent="0.3">
      <c r="D188" s="9"/>
      <c r="G188" s="9"/>
    </row>
    <row r="189" spans="4:7" ht="23.25" customHeight="1" x14ac:dyDescent="0.3">
      <c r="D189" s="9"/>
      <c r="G189" s="9"/>
    </row>
    <row r="190" spans="4:7" ht="23.25" customHeight="1" x14ac:dyDescent="0.3">
      <c r="D190" s="9"/>
      <c r="G190" s="9"/>
    </row>
    <row r="191" spans="4:7" ht="23.25" customHeight="1" x14ac:dyDescent="0.3">
      <c r="D191" s="9"/>
      <c r="G191" s="9"/>
    </row>
    <row r="192" spans="4:7" ht="23.25" customHeight="1" x14ac:dyDescent="0.3">
      <c r="D192" s="9"/>
      <c r="G192" s="9"/>
    </row>
    <row r="193" spans="4:7" ht="23.25" customHeight="1" x14ac:dyDescent="0.3">
      <c r="D193" s="9"/>
      <c r="G193" s="9"/>
    </row>
    <row r="194" spans="4:7" ht="23.25" customHeight="1" x14ac:dyDescent="0.3">
      <c r="D194" s="9"/>
      <c r="G194" s="9"/>
    </row>
    <row r="195" spans="4:7" ht="23.25" customHeight="1" x14ac:dyDescent="0.3">
      <c r="D195" s="9"/>
      <c r="G195" s="9"/>
    </row>
    <row r="196" spans="4:7" ht="23.25" customHeight="1" x14ac:dyDescent="0.3">
      <c r="D196" s="9"/>
      <c r="G196" s="9"/>
    </row>
    <row r="197" spans="4:7" ht="23.25" customHeight="1" x14ac:dyDescent="0.3">
      <c r="D197" s="9"/>
      <c r="G197" s="9"/>
    </row>
    <row r="198" spans="4:7" ht="23.25" customHeight="1" x14ac:dyDescent="0.3">
      <c r="D198" s="9"/>
      <c r="G198" s="9"/>
    </row>
    <row r="199" spans="4:7" ht="23.25" customHeight="1" x14ac:dyDescent="0.3">
      <c r="D199" s="9"/>
      <c r="G199" s="9"/>
    </row>
    <row r="200" spans="4:7" ht="23.25" customHeight="1" x14ac:dyDescent="0.3">
      <c r="D200" s="9"/>
      <c r="G200" s="9"/>
    </row>
    <row r="201" spans="4:7" ht="23.25" customHeight="1" x14ac:dyDescent="0.3">
      <c r="D201" s="9"/>
      <c r="G201" s="9"/>
    </row>
    <row r="202" spans="4:7" ht="23.25" customHeight="1" x14ac:dyDescent="0.3">
      <c r="D202" s="9"/>
      <c r="G202" s="9"/>
    </row>
    <row r="203" spans="4:7" ht="23.25" customHeight="1" x14ac:dyDescent="0.3">
      <c r="D203" s="9"/>
      <c r="G203" s="9"/>
    </row>
    <row r="204" spans="4:7" ht="23.25" customHeight="1" x14ac:dyDescent="0.3">
      <c r="D204" s="9"/>
      <c r="G204" s="9"/>
    </row>
    <row r="205" spans="4:7" ht="23.25" customHeight="1" x14ac:dyDescent="0.3">
      <c r="D205" s="9"/>
      <c r="G205" s="9"/>
    </row>
    <row r="206" spans="4:7" ht="23.25" customHeight="1" x14ac:dyDescent="0.3">
      <c r="D206" s="9"/>
      <c r="G206" s="9"/>
    </row>
    <row r="207" spans="4:7" ht="23.25" customHeight="1" x14ac:dyDescent="0.3">
      <c r="D207" s="9"/>
      <c r="G207" s="9"/>
    </row>
    <row r="208" spans="4:7" ht="23.25" customHeight="1" x14ac:dyDescent="0.3">
      <c r="D208" s="9"/>
      <c r="G208" s="9"/>
    </row>
    <row r="209" spans="4:7" ht="23.25" customHeight="1" x14ac:dyDescent="0.3">
      <c r="D209" s="9"/>
      <c r="G209" s="9"/>
    </row>
    <row r="210" spans="4:7" ht="23.25" customHeight="1" x14ac:dyDescent="0.3">
      <c r="D210" s="9"/>
      <c r="G210" s="9"/>
    </row>
    <row r="211" spans="4:7" ht="23.25" customHeight="1" x14ac:dyDescent="0.3">
      <c r="D211" s="9"/>
      <c r="G211" s="9"/>
    </row>
    <row r="212" spans="4:7" ht="23.25" customHeight="1" x14ac:dyDescent="0.3">
      <c r="D212" s="9"/>
      <c r="G212" s="9"/>
    </row>
    <row r="213" spans="4:7" ht="23.25" customHeight="1" x14ac:dyDescent="0.3">
      <c r="D213" s="9"/>
      <c r="G213" s="9"/>
    </row>
    <row r="214" spans="4:7" ht="23.25" customHeight="1" x14ac:dyDescent="0.3">
      <c r="D214" s="9"/>
      <c r="G214" s="9"/>
    </row>
    <row r="215" spans="4:7" ht="23.25" customHeight="1" x14ac:dyDescent="0.3">
      <c r="D215" s="9"/>
      <c r="G215" s="9"/>
    </row>
    <row r="216" spans="4:7" ht="23.25" customHeight="1" x14ac:dyDescent="0.3">
      <c r="D216" s="9"/>
      <c r="G216" s="9"/>
    </row>
    <row r="217" spans="4:7" ht="23.25" customHeight="1" x14ac:dyDescent="0.3">
      <c r="D217" s="9"/>
      <c r="G217" s="9"/>
    </row>
    <row r="218" spans="4:7" ht="23.25" customHeight="1" x14ac:dyDescent="0.3">
      <c r="D218" s="9"/>
      <c r="G218" s="9"/>
    </row>
    <row r="219" spans="4:7" ht="23.25" customHeight="1" x14ac:dyDescent="0.3">
      <c r="D219" s="9"/>
      <c r="G219" s="9"/>
    </row>
    <row r="220" spans="4:7" ht="23.25" customHeight="1" x14ac:dyDescent="0.3">
      <c r="D220" s="9"/>
      <c r="G220" s="9"/>
    </row>
    <row r="221" spans="4:7" ht="23.25" customHeight="1" x14ac:dyDescent="0.3">
      <c r="D221" s="9"/>
      <c r="G221" s="9"/>
    </row>
    <row r="222" spans="4:7" ht="23.25" customHeight="1" x14ac:dyDescent="0.3">
      <c r="D222" s="9"/>
      <c r="G222" s="9"/>
    </row>
    <row r="223" spans="4:7" ht="23.25" customHeight="1" x14ac:dyDescent="0.3">
      <c r="D223" s="9"/>
      <c r="G223" s="9"/>
    </row>
    <row r="224" spans="4:7" ht="23.25" customHeight="1" x14ac:dyDescent="0.3">
      <c r="D224" s="9"/>
      <c r="G224" s="9"/>
    </row>
    <row r="225" spans="4:7" ht="23.25" customHeight="1" x14ac:dyDescent="0.3">
      <c r="D225" s="9"/>
      <c r="G225" s="9"/>
    </row>
    <row r="226" spans="4:7" ht="23.25" customHeight="1" x14ac:dyDescent="0.3">
      <c r="D226" s="9"/>
      <c r="G226" s="9"/>
    </row>
    <row r="227" spans="4:7" ht="23.25" customHeight="1" x14ac:dyDescent="0.3">
      <c r="D227" s="9"/>
      <c r="G227" s="9"/>
    </row>
    <row r="228" spans="4:7" ht="23.25" customHeight="1" x14ac:dyDescent="0.3">
      <c r="D228" s="9"/>
      <c r="G228" s="9"/>
    </row>
    <row r="229" spans="4:7" ht="23.25" customHeight="1" x14ac:dyDescent="0.3">
      <c r="D229" s="9"/>
      <c r="G229" s="9"/>
    </row>
    <row r="230" spans="4:7" ht="23.25" customHeight="1" x14ac:dyDescent="0.3">
      <c r="D230" s="9"/>
      <c r="G230" s="9"/>
    </row>
    <row r="231" spans="4:7" ht="23.25" customHeight="1" x14ac:dyDescent="0.3">
      <c r="D231" s="9"/>
      <c r="G231" s="9"/>
    </row>
    <row r="232" spans="4:7" ht="23.25" customHeight="1" x14ac:dyDescent="0.3">
      <c r="D232" s="9"/>
      <c r="G232" s="9"/>
    </row>
    <row r="233" spans="4:7" ht="23.25" customHeight="1" x14ac:dyDescent="0.3">
      <c r="D233" s="9"/>
      <c r="G233" s="9"/>
    </row>
    <row r="234" spans="4:7" ht="23.25" customHeight="1" x14ac:dyDescent="0.3">
      <c r="D234" s="9"/>
      <c r="G234" s="9"/>
    </row>
    <row r="235" spans="4:7" ht="23.25" customHeight="1" x14ac:dyDescent="0.3">
      <c r="D235" s="9"/>
      <c r="G235" s="9"/>
    </row>
    <row r="236" spans="4:7" ht="23.25" customHeight="1" x14ac:dyDescent="0.3">
      <c r="D236" s="9"/>
      <c r="G236" s="9"/>
    </row>
    <row r="237" spans="4:7" ht="23.25" customHeight="1" x14ac:dyDescent="0.3">
      <c r="D237" s="9"/>
      <c r="G237" s="9"/>
    </row>
    <row r="238" spans="4:7" ht="23.25" customHeight="1" x14ac:dyDescent="0.3">
      <c r="D238" s="9"/>
      <c r="G238" s="9"/>
    </row>
    <row r="239" spans="4:7" ht="23.25" customHeight="1" x14ac:dyDescent="0.3">
      <c r="D239" s="9"/>
      <c r="G239" s="9"/>
    </row>
    <row r="240" spans="4:7" ht="23.25" customHeight="1" x14ac:dyDescent="0.3">
      <c r="D240" s="9"/>
      <c r="G240" s="9"/>
    </row>
    <row r="241" spans="4:7" ht="23.25" customHeight="1" x14ac:dyDescent="0.3">
      <c r="D241" s="9"/>
      <c r="G241" s="9"/>
    </row>
    <row r="242" spans="4:7" ht="23.25" customHeight="1" x14ac:dyDescent="0.3">
      <c r="D242" s="9"/>
      <c r="G242" s="9"/>
    </row>
    <row r="243" spans="4:7" ht="23.25" customHeight="1" x14ac:dyDescent="0.3">
      <c r="D243" s="9"/>
      <c r="G243" s="9"/>
    </row>
    <row r="244" spans="4:7" ht="23.25" customHeight="1" x14ac:dyDescent="0.3">
      <c r="D244" s="9"/>
      <c r="G244" s="9"/>
    </row>
    <row r="245" spans="4:7" ht="23.25" customHeight="1" x14ac:dyDescent="0.3">
      <c r="D245" s="9"/>
      <c r="G245" s="9"/>
    </row>
    <row r="246" spans="4:7" ht="23.25" customHeight="1" x14ac:dyDescent="0.3">
      <c r="D246" s="9"/>
      <c r="G246" s="9"/>
    </row>
    <row r="247" spans="4:7" ht="23.25" customHeight="1" x14ac:dyDescent="0.3">
      <c r="D247" s="9"/>
      <c r="G247" s="9"/>
    </row>
    <row r="248" spans="4:7" ht="23.25" customHeight="1" x14ac:dyDescent="0.3">
      <c r="D248" s="9"/>
      <c r="G248" s="9"/>
    </row>
    <row r="249" spans="4:7" ht="23.25" customHeight="1" x14ac:dyDescent="0.3">
      <c r="D249" s="9"/>
      <c r="G249" s="9"/>
    </row>
    <row r="250" spans="4:7" ht="23.25" customHeight="1" x14ac:dyDescent="0.3">
      <c r="D250" s="9"/>
      <c r="G250" s="9"/>
    </row>
    <row r="251" spans="4:7" ht="23.25" customHeight="1" x14ac:dyDescent="0.3">
      <c r="D251" s="9"/>
      <c r="G251" s="9"/>
    </row>
    <row r="252" spans="4:7" ht="23.25" customHeight="1" x14ac:dyDescent="0.3">
      <c r="D252" s="9"/>
      <c r="G252" s="9"/>
    </row>
    <row r="253" spans="4:7" ht="23.25" customHeight="1" x14ac:dyDescent="0.3">
      <c r="D253" s="9"/>
      <c r="G253" s="9"/>
    </row>
    <row r="254" spans="4:7" ht="23.25" customHeight="1" x14ac:dyDescent="0.3">
      <c r="D254" s="9"/>
      <c r="G254" s="9"/>
    </row>
    <row r="255" spans="4:7" ht="23.25" customHeight="1" x14ac:dyDescent="0.3">
      <c r="D255" s="9"/>
      <c r="G255" s="9"/>
    </row>
    <row r="256" spans="4:7" ht="23.25" customHeight="1" x14ac:dyDescent="0.3">
      <c r="D256" s="9"/>
      <c r="G256" s="9"/>
    </row>
    <row r="257" spans="4:7" ht="23.25" customHeight="1" x14ac:dyDescent="0.3">
      <c r="D257" s="9"/>
      <c r="G257" s="9"/>
    </row>
    <row r="258" spans="4:7" ht="23.25" customHeight="1" x14ac:dyDescent="0.3">
      <c r="D258" s="9"/>
      <c r="G258" s="9"/>
    </row>
    <row r="259" spans="4:7" ht="23.25" customHeight="1" x14ac:dyDescent="0.3">
      <c r="D259" s="9"/>
      <c r="G259" s="9"/>
    </row>
    <row r="260" spans="4:7" ht="23.25" customHeight="1" x14ac:dyDescent="0.3">
      <c r="D260" s="9"/>
      <c r="G260" s="9"/>
    </row>
    <row r="261" spans="4:7" ht="23.25" customHeight="1" x14ac:dyDescent="0.3">
      <c r="D261" s="9"/>
      <c r="G261" s="9"/>
    </row>
    <row r="262" spans="4:7" ht="23.25" customHeight="1" x14ac:dyDescent="0.3">
      <c r="D262" s="9"/>
      <c r="G262" s="9"/>
    </row>
    <row r="263" spans="4:7" ht="23.25" customHeight="1" x14ac:dyDescent="0.3">
      <c r="D263" s="9"/>
      <c r="G263" s="9"/>
    </row>
    <row r="264" spans="4:7" ht="23.25" customHeight="1" x14ac:dyDescent="0.3">
      <c r="D264" s="9"/>
      <c r="G264" s="9"/>
    </row>
    <row r="265" spans="4:7" ht="23.25" customHeight="1" x14ac:dyDescent="0.3">
      <c r="D265" s="9"/>
      <c r="G265" s="9"/>
    </row>
    <row r="266" spans="4:7" ht="23.25" customHeight="1" x14ac:dyDescent="0.3">
      <c r="D266" s="9"/>
      <c r="G266" s="9"/>
    </row>
    <row r="267" spans="4:7" ht="23.25" customHeight="1" x14ac:dyDescent="0.3">
      <c r="D267" s="9"/>
      <c r="G267" s="9"/>
    </row>
    <row r="268" spans="4:7" ht="23.25" customHeight="1" x14ac:dyDescent="0.3">
      <c r="D268" s="9"/>
      <c r="G268" s="9"/>
    </row>
    <row r="269" spans="4:7" ht="23.25" customHeight="1" x14ac:dyDescent="0.3">
      <c r="D269" s="9"/>
      <c r="G269" s="9"/>
    </row>
    <row r="270" spans="4:7" ht="23.25" customHeight="1" x14ac:dyDescent="0.3">
      <c r="D270" s="9"/>
      <c r="G270" s="9"/>
    </row>
    <row r="271" spans="4:7" ht="23.25" customHeight="1" x14ac:dyDescent="0.3">
      <c r="D271" s="9"/>
      <c r="G271" s="9"/>
    </row>
    <row r="272" spans="4:7" ht="23.25" customHeight="1" x14ac:dyDescent="0.3">
      <c r="D272" s="9"/>
      <c r="G272" s="9"/>
    </row>
    <row r="273" spans="4:7" ht="23.25" customHeight="1" x14ac:dyDescent="0.3">
      <c r="D273" s="9"/>
      <c r="G273" s="9"/>
    </row>
    <row r="274" spans="4:7" ht="23.25" customHeight="1" x14ac:dyDescent="0.3">
      <c r="D274" s="9"/>
      <c r="G274" s="9"/>
    </row>
    <row r="275" spans="4:7" ht="23.25" customHeight="1" x14ac:dyDescent="0.3">
      <c r="D275" s="9"/>
      <c r="G275" s="9"/>
    </row>
    <row r="276" spans="4:7" ht="23.25" customHeight="1" x14ac:dyDescent="0.3">
      <c r="D276" s="9"/>
      <c r="G276" s="9"/>
    </row>
    <row r="277" spans="4:7" ht="23.25" customHeight="1" x14ac:dyDescent="0.3">
      <c r="D277" s="9"/>
      <c r="G277" s="9"/>
    </row>
    <row r="278" spans="4:7" ht="23.25" customHeight="1" x14ac:dyDescent="0.3">
      <c r="D278" s="9"/>
      <c r="G278" s="9"/>
    </row>
    <row r="279" spans="4:7" ht="23.25" customHeight="1" x14ac:dyDescent="0.3">
      <c r="D279" s="9"/>
      <c r="G279" s="9"/>
    </row>
    <row r="280" spans="4:7" ht="23.25" customHeight="1" x14ac:dyDescent="0.3">
      <c r="D280" s="9"/>
      <c r="G280" s="9"/>
    </row>
    <row r="281" spans="4:7" ht="23.25" customHeight="1" x14ac:dyDescent="0.3">
      <c r="D281" s="9"/>
      <c r="G281" s="9"/>
    </row>
    <row r="282" spans="4:7" ht="23.25" customHeight="1" x14ac:dyDescent="0.3">
      <c r="D282" s="9"/>
      <c r="G282" s="9"/>
    </row>
    <row r="283" spans="4:7" ht="23.25" customHeight="1" x14ac:dyDescent="0.3">
      <c r="D283" s="9"/>
      <c r="G283" s="9"/>
    </row>
    <row r="284" spans="4:7" ht="23.25" customHeight="1" x14ac:dyDescent="0.3">
      <c r="D284" s="9"/>
      <c r="G284" s="9"/>
    </row>
    <row r="285" spans="4:7" ht="23.25" customHeight="1" x14ac:dyDescent="0.3">
      <c r="D285" s="9"/>
      <c r="G285" s="9"/>
    </row>
    <row r="286" spans="4:7" ht="23.25" customHeight="1" x14ac:dyDescent="0.3">
      <c r="D286" s="9"/>
      <c r="G286" s="9"/>
    </row>
    <row r="287" spans="4:7" ht="23.25" customHeight="1" x14ac:dyDescent="0.3">
      <c r="D287" s="9"/>
      <c r="G287" s="9"/>
    </row>
    <row r="288" spans="4:7" ht="23.25" customHeight="1" x14ac:dyDescent="0.3">
      <c r="D288" s="9"/>
      <c r="G288" s="9"/>
    </row>
    <row r="289" spans="4:7" ht="23.25" customHeight="1" x14ac:dyDescent="0.3">
      <c r="D289" s="9"/>
      <c r="G289" s="9"/>
    </row>
    <row r="290" spans="4:7" ht="23.25" customHeight="1" x14ac:dyDescent="0.3">
      <c r="D290" s="9"/>
      <c r="G290" s="9"/>
    </row>
    <row r="291" spans="4:7" ht="23.25" customHeight="1" x14ac:dyDescent="0.3">
      <c r="D291" s="9"/>
      <c r="G291" s="9"/>
    </row>
    <row r="292" spans="4:7" ht="23.25" customHeight="1" x14ac:dyDescent="0.3">
      <c r="D292" s="9"/>
      <c r="G292" s="9"/>
    </row>
    <row r="293" spans="4:7" ht="23.25" customHeight="1" x14ac:dyDescent="0.3">
      <c r="D293" s="9"/>
      <c r="G293" s="9"/>
    </row>
    <row r="294" spans="4:7" ht="23.25" customHeight="1" x14ac:dyDescent="0.3">
      <c r="D294" s="9"/>
      <c r="G294" s="9"/>
    </row>
    <row r="295" spans="4:7" ht="23.25" customHeight="1" x14ac:dyDescent="0.3">
      <c r="D295" s="9"/>
      <c r="G295" s="9"/>
    </row>
    <row r="296" spans="4:7" ht="23.25" customHeight="1" x14ac:dyDescent="0.3">
      <c r="D296" s="9"/>
      <c r="G296" s="9"/>
    </row>
    <row r="297" spans="4:7" ht="23.25" customHeight="1" x14ac:dyDescent="0.3">
      <c r="D297" s="9"/>
      <c r="G297" s="9"/>
    </row>
    <row r="298" spans="4:7" ht="23.25" customHeight="1" x14ac:dyDescent="0.3">
      <c r="D298" s="9"/>
      <c r="G298" s="9"/>
    </row>
    <row r="299" spans="4:7" ht="23.25" customHeight="1" x14ac:dyDescent="0.3">
      <c r="D299" s="9"/>
      <c r="G299" s="9"/>
    </row>
    <row r="300" spans="4:7" ht="23.25" customHeight="1" x14ac:dyDescent="0.3">
      <c r="D300" s="9"/>
      <c r="G300" s="9"/>
    </row>
    <row r="301" spans="4:7" ht="23.25" customHeight="1" x14ac:dyDescent="0.3">
      <c r="D301" s="9"/>
      <c r="G301" s="9"/>
    </row>
    <row r="302" spans="4:7" ht="23.25" customHeight="1" x14ac:dyDescent="0.3">
      <c r="D302" s="9"/>
      <c r="G302" s="9"/>
    </row>
    <row r="303" spans="4:7" ht="23.25" customHeight="1" x14ac:dyDescent="0.3">
      <c r="D303" s="9"/>
      <c r="G303" s="9"/>
    </row>
    <row r="304" spans="4:7" ht="23.25" customHeight="1" x14ac:dyDescent="0.3">
      <c r="D304" s="9"/>
      <c r="G304" s="9"/>
    </row>
    <row r="305" spans="4:7" ht="23.25" customHeight="1" x14ac:dyDescent="0.3">
      <c r="D305" s="9"/>
      <c r="G305" s="9"/>
    </row>
    <row r="306" spans="4:7" ht="23.25" customHeight="1" x14ac:dyDescent="0.3">
      <c r="D306" s="9"/>
      <c r="G306" s="9"/>
    </row>
    <row r="307" spans="4:7" ht="23.25" customHeight="1" x14ac:dyDescent="0.3">
      <c r="D307" s="9"/>
      <c r="G307" s="9"/>
    </row>
    <row r="308" spans="4:7" ht="23.25" customHeight="1" x14ac:dyDescent="0.3">
      <c r="D308" s="9"/>
      <c r="G308" s="9"/>
    </row>
    <row r="309" spans="4:7" ht="23.25" customHeight="1" x14ac:dyDescent="0.3">
      <c r="D309" s="9"/>
      <c r="G309" s="9"/>
    </row>
    <row r="310" spans="4:7" ht="23.25" customHeight="1" x14ac:dyDescent="0.3">
      <c r="D310" s="9"/>
      <c r="G310" s="9"/>
    </row>
    <row r="311" spans="4:7" ht="23.25" customHeight="1" x14ac:dyDescent="0.3">
      <c r="D311" s="9"/>
      <c r="G311" s="9"/>
    </row>
    <row r="312" spans="4:7" ht="23.25" customHeight="1" x14ac:dyDescent="0.3">
      <c r="D312" s="9"/>
      <c r="G312" s="9"/>
    </row>
    <row r="313" spans="4:7" ht="23.25" customHeight="1" x14ac:dyDescent="0.3">
      <c r="D313" s="9"/>
      <c r="G313" s="9"/>
    </row>
    <row r="314" spans="4:7" ht="23.25" customHeight="1" x14ac:dyDescent="0.3">
      <c r="D314" s="9"/>
      <c r="G314" s="9"/>
    </row>
    <row r="315" spans="4:7" ht="23.25" customHeight="1" x14ac:dyDescent="0.3">
      <c r="D315" s="9"/>
      <c r="G315" s="9"/>
    </row>
    <row r="316" spans="4:7" ht="23.25" customHeight="1" x14ac:dyDescent="0.3">
      <c r="D316" s="9"/>
      <c r="G316" s="9"/>
    </row>
    <row r="317" spans="4:7" ht="23.25" customHeight="1" x14ac:dyDescent="0.3">
      <c r="D317" s="9"/>
      <c r="G317" s="9"/>
    </row>
    <row r="318" spans="4:7" ht="23.25" customHeight="1" x14ac:dyDescent="0.3">
      <c r="D318" s="9"/>
      <c r="G318" s="9"/>
    </row>
    <row r="319" spans="4:7" ht="23.25" customHeight="1" x14ac:dyDescent="0.3">
      <c r="D319" s="9"/>
      <c r="G319" s="9"/>
    </row>
    <row r="320" spans="4:7" ht="23.25" customHeight="1" x14ac:dyDescent="0.3">
      <c r="D320" s="9"/>
      <c r="G320" s="9"/>
    </row>
    <row r="321" spans="4:7" ht="23.25" customHeight="1" x14ac:dyDescent="0.3">
      <c r="D321" s="9"/>
      <c r="G321" s="9"/>
    </row>
    <row r="322" spans="4:7" ht="23.25" customHeight="1" x14ac:dyDescent="0.3">
      <c r="D322" s="9"/>
      <c r="G322" s="9"/>
    </row>
    <row r="323" spans="4:7" ht="23.25" customHeight="1" x14ac:dyDescent="0.3">
      <c r="D323" s="9"/>
      <c r="G323" s="9"/>
    </row>
    <row r="324" spans="4:7" ht="23.25" customHeight="1" x14ac:dyDescent="0.3">
      <c r="D324" s="9"/>
      <c r="G324" s="9"/>
    </row>
    <row r="325" spans="4:7" ht="23.25" customHeight="1" x14ac:dyDescent="0.3">
      <c r="D325" s="9"/>
      <c r="G325" s="9"/>
    </row>
    <row r="326" spans="4:7" ht="23.25" customHeight="1" x14ac:dyDescent="0.3">
      <c r="D326" s="9"/>
      <c r="G326" s="9"/>
    </row>
    <row r="327" spans="4:7" ht="23.25" customHeight="1" x14ac:dyDescent="0.3">
      <c r="D327" s="9"/>
      <c r="G327" s="9"/>
    </row>
    <row r="328" spans="4:7" ht="23.25" customHeight="1" x14ac:dyDescent="0.3">
      <c r="D328" s="9"/>
      <c r="G328" s="9"/>
    </row>
    <row r="329" spans="4:7" ht="23.25" customHeight="1" x14ac:dyDescent="0.3">
      <c r="D329" s="9"/>
      <c r="G329" s="9"/>
    </row>
    <row r="330" spans="4:7" ht="23.25" customHeight="1" x14ac:dyDescent="0.3">
      <c r="D330" s="9"/>
      <c r="G330" s="9"/>
    </row>
    <row r="331" spans="4:7" ht="23.25" customHeight="1" x14ac:dyDescent="0.3">
      <c r="D331" s="9"/>
      <c r="G331" s="9"/>
    </row>
    <row r="332" spans="4:7" ht="23.25" customHeight="1" x14ac:dyDescent="0.3">
      <c r="D332" s="9"/>
      <c r="G332" s="9"/>
    </row>
    <row r="333" spans="4:7" ht="23.25" customHeight="1" x14ac:dyDescent="0.3">
      <c r="D333" s="9"/>
      <c r="G333" s="9"/>
    </row>
    <row r="334" spans="4:7" ht="23.25" customHeight="1" x14ac:dyDescent="0.3">
      <c r="D334" s="9"/>
      <c r="G334" s="9"/>
    </row>
    <row r="335" spans="4:7" ht="23.25" customHeight="1" x14ac:dyDescent="0.3">
      <c r="D335" s="9"/>
      <c r="G335" s="9"/>
    </row>
    <row r="336" spans="4:7" ht="23.25" customHeight="1" x14ac:dyDescent="0.3">
      <c r="D336" s="9"/>
      <c r="G336" s="9"/>
    </row>
    <row r="337" spans="4:7" ht="23.25" customHeight="1" x14ac:dyDescent="0.3">
      <c r="D337" s="9"/>
      <c r="G337" s="9"/>
    </row>
    <row r="338" spans="4:7" ht="23.25" customHeight="1" x14ac:dyDescent="0.3">
      <c r="D338" s="9"/>
      <c r="G338" s="9"/>
    </row>
    <row r="339" spans="4:7" ht="23.25" customHeight="1" x14ac:dyDescent="0.3">
      <c r="D339" s="9"/>
      <c r="G339" s="9"/>
    </row>
    <row r="340" spans="4:7" ht="23.25" customHeight="1" x14ac:dyDescent="0.3">
      <c r="D340" s="9"/>
      <c r="G340" s="9"/>
    </row>
    <row r="341" spans="4:7" ht="23.25" customHeight="1" x14ac:dyDescent="0.3">
      <c r="D341" s="9"/>
      <c r="G341" s="9"/>
    </row>
    <row r="342" spans="4:7" ht="23.25" customHeight="1" x14ac:dyDescent="0.3">
      <c r="D342" s="9"/>
      <c r="G342" s="9"/>
    </row>
    <row r="343" spans="4:7" ht="23.25" customHeight="1" x14ac:dyDescent="0.3">
      <c r="D343" s="9"/>
      <c r="G343" s="9"/>
    </row>
    <row r="344" spans="4:7" ht="23.25" customHeight="1" x14ac:dyDescent="0.3">
      <c r="D344" s="9"/>
      <c r="G344" s="9"/>
    </row>
    <row r="345" spans="4:7" ht="23.25" customHeight="1" x14ac:dyDescent="0.3">
      <c r="D345" s="9"/>
      <c r="G345" s="9"/>
    </row>
    <row r="346" spans="4:7" ht="23.25" customHeight="1" x14ac:dyDescent="0.3">
      <c r="D346" s="9"/>
      <c r="G346" s="9"/>
    </row>
    <row r="347" spans="4:7" ht="23.25" customHeight="1" x14ac:dyDescent="0.3">
      <c r="D347" s="9"/>
      <c r="G347" s="9"/>
    </row>
    <row r="348" spans="4:7" ht="23.25" customHeight="1" x14ac:dyDescent="0.3">
      <c r="D348" s="9"/>
      <c r="G348" s="9"/>
    </row>
    <row r="349" spans="4:7" ht="23.25" customHeight="1" x14ac:dyDescent="0.3">
      <c r="D349" s="9"/>
      <c r="G349" s="9"/>
    </row>
    <row r="350" spans="4:7" ht="23.25" customHeight="1" x14ac:dyDescent="0.3">
      <c r="D350" s="9"/>
      <c r="G350" s="9"/>
    </row>
    <row r="351" spans="4:7" ht="23.25" customHeight="1" x14ac:dyDescent="0.3">
      <c r="D351" s="9"/>
      <c r="G351" s="9"/>
    </row>
    <row r="352" spans="4:7" ht="23.25" customHeight="1" x14ac:dyDescent="0.3">
      <c r="D352" s="9"/>
      <c r="G352" s="9"/>
    </row>
    <row r="353" spans="4:7" ht="23.25" customHeight="1" x14ac:dyDescent="0.3">
      <c r="D353" s="9"/>
      <c r="G353" s="9"/>
    </row>
    <row r="354" spans="4:7" ht="23.25" customHeight="1" x14ac:dyDescent="0.3">
      <c r="D354" s="9"/>
      <c r="G354" s="9"/>
    </row>
    <row r="355" spans="4:7" ht="23.25" customHeight="1" x14ac:dyDescent="0.3">
      <c r="D355" s="9"/>
      <c r="G355" s="9"/>
    </row>
    <row r="356" spans="4:7" ht="23.25" customHeight="1" x14ac:dyDescent="0.3">
      <c r="D356" s="9"/>
      <c r="G356" s="9"/>
    </row>
    <row r="357" spans="4:7" ht="23.25" customHeight="1" x14ac:dyDescent="0.3">
      <c r="D357" s="9"/>
      <c r="G357" s="9"/>
    </row>
    <row r="358" spans="4:7" ht="23.25" customHeight="1" x14ac:dyDescent="0.3">
      <c r="D358" s="9"/>
      <c r="G358" s="9"/>
    </row>
    <row r="359" spans="4:7" ht="23.25" customHeight="1" x14ac:dyDescent="0.3">
      <c r="D359" s="9"/>
      <c r="G359" s="9"/>
    </row>
    <row r="360" spans="4:7" ht="23.25" customHeight="1" x14ac:dyDescent="0.3">
      <c r="D360" s="9"/>
      <c r="G360" s="9"/>
    </row>
    <row r="361" spans="4:7" ht="23.25" customHeight="1" x14ac:dyDescent="0.3">
      <c r="D361" s="9"/>
      <c r="G361" s="9"/>
    </row>
    <row r="362" spans="4:7" ht="23.25" customHeight="1" x14ac:dyDescent="0.3">
      <c r="D362" s="9"/>
      <c r="G362" s="9"/>
    </row>
    <row r="363" spans="4:7" ht="23.25" customHeight="1" x14ac:dyDescent="0.3">
      <c r="D363" s="9"/>
      <c r="G363" s="9"/>
    </row>
    <row r="364" spans="4:7" ht="23.25" customHeight="1" x14ac:dyDescent="0.3">
      <c r="D364" s="9"/>
      <c r="G364" s="9"/>
    </row>
    <row r="365" spans="4:7" ht="23.25" customHeight="1" x14ac:dyDescent="0.3">
      <c r="D365" s="9"/>
      <c r="G365" s="9"/>
    </row>
    <row r="366" spans="4:7" ht="23.25" customHeight="1" x14ac:dyDescent="0.3">
      <c r="D366" s="9"/>
      <c r="G366" s="9"/>
    </row>
    <row r="367" spans="4:7" ht="23.25" customHeight="1" x14ac:dyDescent="0.3">
      <c r="D367" s="9"/>
      <c r="G367" s="9"/>
    </row>
    <row r="368" spans="4:7" ht="23.25" customHeight="1" x14ac:dyDescent="0.3">
      <c r="D368" s="9"/>
      <c r="G368" s="9"/>
    </row>
    <row r="369" spans="4:7" ht="23.25" customHeight="1" x14ac:dyDescent="0.3">
      <c r="D369" s="9"/>
      <c r="G369" s="9"/>
    </row>
    <row r="370" spans="4:7" ht="23.25" customHeight="1" x14ac:dyDescent="0.3">
      <c r="D370" s="9"/>
      <c r="G370" s="9"/>
    </row>
    <row r="371" spans="4:7" ht="23.25" customHeight="1" x14ac:dyDescent="0.3">
      <c r="D371" s="9"/>
      <c r="G371" s="9"/>
    </row>
    <row r="372" spans="4:7" ht="23.25" customHeight="1" x14ac:dyDescent="0.3">
      <c r="D372" s="9"/>
      <c r="G372" s="9"/>
    </row>
    <row r="373" spans="4:7" ht="23.25" customHeight="1" x14ac:dyDescent="0.3">
      <c r="D373" s="9"/>
      <c r="G373" s="9"/>
    </row>
    <row r="374" spans="4:7" ht="23.25" customHeight="1" x14ac:dyDescent="0.3">
      <c r="D374" s="9"/>
      <c r="G374" s="9"/>
    </row>
    <row r="375" spans="4:7" ht="23.25" customHeight="1" x14ac:dyDescent="0.3">
      <c r="D375" s="9"/>
      <c r="G375" s="9"/>
    </row>
    <row r="376" spans="4:7" ht="23.25" customHeight="1" x14ac:dyDescent="0.3">
      <c r="D376" s="9"/>
      <c r="G376" s="9"/>
    </row>
    <row r="377" spans="4:7" ht="23.25" customHeight="1" x14ac:dyDescent="0.3">
      <c r="D377" s="9"/>
      <c r="G377" s="9"/>
    </row>
    <row r="378" spans="4:7" ht="23.25" customHeight="1" x14ac:dyDescent="0.3">
      <c r="D378" s="9"/>
      <c r="G378" s="9"/>
    </row>
    <row r="379" spans="4:7" ht="23.25" customHeight="1" x14ac:dyDescent="0.3">
      <c r="D379" s="9"/>
      <c r="G379" s="9"/>
    </row>
    <row r="380" spans="4:7" ht="23.25" customHeight="1" x14ac:dyDescent="0.3">
      <c r="D380" s="9"/>
      <c r="G380" s="9"/>
    </row>
    <row r="381" spans="4:7" ht="23.25" customHeight="1" x14ac:dyDescent="0.3">
      <c r="D381" s="9"/>
      <c r="G381" s="9"/>
    </row>
    <row r="382" spans="4:7" ht="23.25" customHeight="1" x14ac:dyDescent="0.3">
      <c r="D382" s="9"/>
      <c r="G382" s="9"/>
    </row>
    <row r="383" spans="4:7" ht="23.25" customHeight="1" x14ac:dyDescent="0.3">
      <c r="D383" s="9"/>
      <c r="G383" s="9"/>
    </row>
    <row r="384" spans="4:7" ht="23.25" customHeight="1" x14ac:dyDescent="0.3">
      <c r="D384" s="9"/>
      <c r="G384" s="9"/>
    </row>
    <row r="385" spans="4:7" ht="23.25" customHeight="1" x14ac:dyDescent="0.3">
      <c r="D385" s="9"/>
      <c r="G385" s="9"/>
    </row>
    <row r="386" spans="4:7" ht="23.25" customHeight="1" x14ac:dyDescent="0.3">
      <c r="D386" s="9"/>
      <c r="G386" s="9"/>
    </row>
    <row r="387" spans="4:7" ht="23.25" customHeight="1" x14ac:dyDescent="0.3">
      <c r="D387" s="9"/>
      <c r="G387" s="9"/>
    </row>
    <row r="388" spans="4:7" ht="23.25" customHeight="1" x14ac:dyDescent="0.3">
      <c r="D388" s="9"/>
      <c r="G388" s="9"/>
    </row>
    <row r="389" spans="4:7" ht="23.25" customHeight="1" x14ac:dyDescent="0.3">
      <c r="D389" s="9"/>
      <c r="G389" s="9"/>
    </row>
    <row r="390" spans="4:7" ht="23.25" customHeight="1" x14ac:dyDescent="0.3">
      <c r="D390" s="9"/>
      <c r="G390" s="9"/>
    </row>
    <row r="391" spans="4:7" ht="23.25" customHeight="1" x14ac:dyDescent="0.3">
      <c r="D391" s="9"/>
      <c r="G391" s="9"/>
    </row>
    <row r="392" spans="4:7" ht="23.25" customHeight="1" x14ac:dyDescent="0.3">
      <c r="D392" s="9"/>
      <c r="G392" s="9"/>
    </row>
    <row r="393" spans="4:7" ht="23.25" customHeight="1" x14ac:dyDescent="0.3">
      <c r="D393" s="9"/>
      <c r="G393" s="9"/>
    </row>
    <row r="394" spans="4:7" ht="23.25" customHeight="1" x14ac:dyDescent="0.3">
      <c r="D394" s="9"/>
      <c r="G394" s="9"/>
    </row>
    <row r="395" spans="4:7" ht="23.25" customHeight="1" x14ac:dyDescent="0.3">
      <c r="D395" s="9"/>
      <c r="G395" s="9"/>
    </row>
    <row r="396" spans="4:7" ht="23.25" customHeight="1" x14ac:dyDescent="0.3">
      <c r="D396" s="9"/>
      <c r="G396" s="9"/>
    </row>
    <row r="397" spans="4:7" ht="23.25" customHeight="1" x14ac:dyDescent="0.3">
      <c r="D397" s="9"/>
      <c r="G397" s="9"/>
    </row>
    <row r="398" spans="4:7" ht="23.25" customHeight="1" x14ac:dyDescent="0.3">
      <c r="D398" s="9"/>
      <c r="G398" s="9"/>
    </row>
    <row r="399" spans="4:7" ht="23.25" customHeight="1" x14ac:dyDescent="0.3">
      <c r="D399" s="9"/>
      <c r="G399" s="9"/>
    </row>
    <row r="400" spans="4:7" ht="23.25" customHeight="1" x14ac:dyDescent="0.3">
      <c r="D400" s="9"/>
      <c r="G400" s="9"/>
    </row>
    <row r="401" spans="4:7" ht="23.25" customHeight="1" x14ac:dyDescent="0.3">
      <c r="D401" s="9"/>
      <c r="G401" s="9"/>
    </row>
    <row r="402" spans="4:7" ht="23.25" customHeight="1" x14ac:dyDescent="0.3">
      <c r="D402" s="9"/>
      <c r="G402" s="9"/>
    </row>
    <row r="403" spans="4:7" ht="23.25" customHeight="1" x14ac:dyDescent="0.3">
      <c r="D403" s="9"/>
      <c r="G403" s="9"/>
    </row>
    <row r="404" spans="4:7" ht="23.25" customHeight="1" x14ac:dyDescent="0.3">
      <c r="D404" s="9"/>
      <c r="G404" s="9"/>
    </row>
    <row r="405" spans="4:7" ht="23.25" customHeight="1" x14ac:dyDescent="0.3">
      <c r="D405" s="9"/>
      <c r="G405" s="9"/>
    </row>
    <row r="406" spans="4:7" ht="23.25" customHeight="1" x14ac:dyDescent="0.3">
      <c r="D406" s="9"/>
      <c r="G406" s="9"/>
    </row>
    <row r="407" spans="4:7" ht="23.25" customHeight="1" x14ac:dyDescent="0.3">
      <c r="D407" s="9"/>
      <c r="G407" s="9"/>
    </row>
    <row r="408" spans="4:7" ht="23.25" customHeight="1" x14ac:dyDescent="0.3">
      <c r="D408" s="9"/>
      <c r="G408" s="9"/>
    </row>
    <row r="409" spans="4:7" ht="23.25" customHeight="1" x14ac:dyDescent="0.3">
      <c r="D409" s="9"/>
      <c r="G409" s="9"/>
    </row>
    <row r="410" spans="4:7" ht="23.25" customHeight="1" x14ac:dyDescent="0.3">
      <c r="D410" s="9"/>
      <c r="G410" s="9"/>
    </row>
    <row r="411" spans="4:7" ht="23.25" customHeight="1" x14ac:dyDescent="0.3">
      <c r="D411" s="9"/>
      <c r="G411" s="9"/>
    </row>
    <row r="412" spans="4:7" ht="23.25" customHeight="1" x14ac:dyDescent="0.3">
      <c r="D412" s="9"/>
      <c r="G412" s="9"/>
    </row>
    <row r="413" spans="4:7" ht="23.25" customHeight="1" x14ac:dyDescent="0.3">
      <c r="D413" s="9"/>
      <c r="G413" s="9"/>
    </row>
    <row r="414" spans="4:7" ht="23.25" customHeight="1" x14ac:dyDescent="0.3">
      <c r="D414" s="9"/>
      <c r="G414" s="9"/>
    </row>
    <row r="415" spans="4:7" ht="23.25" customHeight="1" x14ac:dyDescent="0.3">
      <c r="D415" s="9"/>
      <c r="G415" s="9"/>
    </row>
    <row r="416" spans="4:7" ht="23.25" customHeight="1" x14ac:dyDescent="0.3">
      <c r="D416" s="9"/>
      <c r="G416" s="9"/>
    </row>
    <row r="417" spans="4:7" ht="23.25" customHeight="1" x14ac:dyDescent="0.3">
      <c r="D417" s="9"/>
      <c r="G417" s="9"/>
    </row>
    <row r="418" spans="4:7" ht="23.25" customHeight="1" x14ac:dyDescent="0.3">
      <c r="D418" s="9"/>
      <c r="G418" s="9"/>
    </row>
    <row r="419" spans="4:7" ht="23.25" customHeight="1" x14ac:dyDescent="0.3">
      <c r="D419" s="9"/>
      <c r="G419" s="9"/>
    </row>
    <row r="420" spans="4:7" ht="23.25" customHeight="1" x14ac:dyDescent="0.3">
      <c r="D420" s="9"/>
      <c r="G420" s="9"/>
    </row>
    <row r="421" spans="4:7" ht="23.25" customHeight="1" x14ac:dyDescent="0.3">
      <c r="D421" s="9"/>
      <c r="G421" s="9"/>
    </row>
    <row r="422" spans="4:7" ht="23.25" customHeight="1" x14ac:dyDescent="0.3">
      <c r="D422" s="9"/>
      <c r="G422" s="9"/>
    </row>
    <row r="423" spans="4:7" ht="23.25" customHeight="1" x14ac:dyDescent="0.3">
      <c r="D423" s="9"/>
      <c r="G423" s="9"/>
    </row>
    <row r="424" spans="4:7" ht="23.25" customHeight="1" x14ac:dyDescent="0.3">
      <c r="D424" s="9"/>
      <c r="G424" s="9"/>
    </row>
    <row r="425" spans="4:7" ht="23.25" customHeight="1" x14ac:dyDescent="0.3">
      <c r="D425" s="9"/>
      <c r="G425" s="9"/>
    </row>
    <row r="426" spans="4:7" ht="23.25" customHeight="1" x14ac:dyDescent="0.3">
      <c r="D426" s="9"/>
      <c r="G426" s="9"/>
    </row>
    <row r="427" spans="4:7" ht="23.25" customHeight="1" x14ac:dyDescent="0.3">
      <c r="D427" s="9"/>
      <c r="G427" s="9"/>
    </row>
    <row r="428" spans="4:7" ht="23.25" customHeight="1" x14ac:dyDescent="0.3">
      <c r="D428" s="9"/>
      <c r="G428" s="9"/>
    </row>
    <row r="429" spans="4:7" ht="23.25" customHeight="1" x14ac:dyDescent="0.3">
      <c r="D429" s="9"/>
      <c r="G429" s="9"/>
    </row>
    <row r="430" spans="4:7" ht="23.25" customHeight="1" x14ac:dyDescent="0.3">
      <c r="D430" s="9"/>
      <c r="G430" s="9"/>
    </row>
    <row r="431" spans="4:7" ht="23.25" customHeight="1" x14ac:dyDescent="0.3">
      <c r="D431" s="9"/>
      <c r="G431" s="9"/>
    </row>
    <row r="432" spans="4:7" ht="23.25" customHeight="1" x14ac:dyDescent="0.3">
      <c r="D432" s="9"/>
      <c r="G432" s="9"/>
    </row>
    <row r="433" spans="4:7" ht="23.25" customHeight="1" x14ac:dyDescent="0.3">
      <c r="D433" s="9"/>
      <c r="G433" s="9"/>
    </row>
    <row r="434" spans="4:7" ht="23.25" customHeight="1" x14ac:dyDescent="0.3">
      <c r="D434" s="9"/>
      <c r="G434" s="9"/>
    </row>
    <row r="435" spans="4:7" ht="23.25" customHeight="1" x14ac:dyDescent="0.3">
      <c r="D435" s="9"/>
      <c r="G435" s="9"/>
    </row>
    <row r="436" spans="4:7" ht="23.25" customHeight="1" x14ac:dyDescent="0.3">
      <c r="D436" s="9"/>
      <c r="G436" s="9"/>
    </row>
    <row r="437" spans="4:7" ht="23.25" customHeight="1" x14ac:dyDescent="0.3">
      <c r="D437" s="9"/>
      <c r="G437" s="9"/>
    </row>
    <row r="438" spans="4:7" ht="23.25" customHeight="1" x14ac:dyDescent="0.3">
      <c r="D438" s="9"/>
      <c r="G438" s="9"/>
    </row>
    <row r="439" spans="4:7" ht="23.25" customHeight="1" x14ac:dyDescent="0.3">
      <c r="D439" s="9"/>
      <c r="G439" s="9"/>
    </row>
    <row r="440" spans="4:7" ht="23.25" customHeight="1" x14ac:dyDescent="0.3">
      <c r="D440" s="9"/>
      <c r="G440" s="9"/>
    </row>
    <row r="441" spans="4:7" ht="23.25" customHeight="1" x14ac:dyDescent="0.3">
      <c r="D441" s="9"/>
      <c r="G441" s="9"/>
    </row>
    <row r="442" spans="4:7" ht="23.25" customHeight="1" x14ac:dyDescent="0.3">
      <c r="D442" s="9"/>
      <c r="G442" s="9"/>
    </row>
    <row r="443" spans="4:7" ht="23.25" customHeight="1" x14ac:dyDescent="0.3">
      <c r="D443" s="9"/>
      <c r="G443" s="9"/>
    </row>
    <row r="444" spans="4:7" ht="23.25" customHeight="1" x14ac:dyDescent="0.3">
      <c r="D444" s="9"/>
      <c r="G444" s="9"/>
    </row>
    <row r="445" spans="4:7" ht="23.25" customHeight="1" x14ac:dyDescent="0.3">
      <c r="D445" s="9"/>
      <c r="G445" s="9"/>
    </row>
    <row r="446" spans="4:7" ht="23.25" customHeight="1" x14ac:dyDescent="0.3">
      <c r="D446" s="9"/>
      <c r="G446" s="9"/>
    </row>
    <row r="447" spans="4:7" ht="23.25" customHeight="1" x14ac:dyDescent="0.3">
      <c r="D447" s="9"/>
      <c r="G447" s="9"/>
    </row>
    <row r="448" spans="4:7" ht="23.25" customHeight="1" x14ac:dyDescent="0.3">
      <c r="D448" s="9"/>
      <c r="G448" s="9"/>
    </row>
    <row r="449" spans="4:7" ht="23.25" customHeight="1" x14ac:dyDescent="0.3">
      <c r="D449" s="9"/>
      <c r="G449" s="9"/>
    </row>
    <row r="450" spans="4:7" ht="23.25" customHeight="1" x14ac:dyDescent="0.3">
      <c r="D450" s="9"/>
      <c r="G450" s="9"/>
    </row>
    <row r="451" spans="4:7" ht="23.25" customHeight="1" x14ac:dyDescent="0.3">
      <c r="D451" s="9"/>
      <c r="G451" s="9"/>
    </row>
    <row r="452" spans="4:7" ht="23.25" customHeight="1" x14ac:dyDescent="0.3">
      <c r="D452" s="9"/>
      <c r="G452" s="9"/>
    </row>
    <row r="453" spans="4:7" ht="23.25" customHeight="1" x14ac:dyDescent="0.3">
      <c r="D453" s="9"/>
      <c r="G453" s="9"/>
    </row>
    <row r="454" spans="4:7" ht="23.25" customHeight="1" x14ac:dyDescent="0.3">
      <c r="D454" s="9"/>
      <c r="G454" s="9"/>
    </row>
    <row r="455" spans="4:7" ht="23.25" customHeight="1" x14ac:dyDescent="0.3">
      <c r="D455" s="9"/>
      <c r="G455" s="9"/>
    </row>
    <row r="456" spans="4:7" ht="23.25" customHeight="1" x14ac:dyDescent="0.3">
      <c r="D456" s="9"/>
      <c r="G456" s="9"/>
    </row>
    <row r="457" spans="4:7" ht="23.25" customHeight="1" x14ac:dyDescent="0.3">
      <c r="D457" s="9"/>
      <c r="G457" s="9"/>
    </row>
    <row r="458" spans="4:7" ht="23.25" customHeight="1" x14ac:dyDescent="0.3">
      <c r="D458" s="9"/>
      <c r="G458" s="9"/>
    </row>
    <row r="459" spans="4:7" ht="23.25" customHeight="1" x14ac:dyDescent="0.3">
      <c r="D459" s="9"/>
      <c r="G459" s="9"/>
    </row>
    <row r="460" spans="4:7" ht="23.25" customHeight="1" x14ac:dyDescent="0.3">
      <c r="D460" s="9"/>
      <c r="G460" s="9"/>
    </row>
    <row r="461" spans="4:7" ht="23.25" customHeight="1" x14ac:dyDescent="0.3">
      <c r="D461" s="9"/>
      <c r="G461" s="9"/>
    </row>
    <row r="462" spans="4:7" ht="23.25" customHeight="1" x14ac:dyDescent="0.3">
      <c r="D462" s="9"/>
      <c r="G462" s="9"/>
    </row>
    <row r="463" spans="4:7" ht="23.25" customHeight="1" x14ac:dyDescent="0.3">
      <c r="D463" s="9"/>
      <c r="G463" s="9"/>
    </row>
    <row r="464" spans="4:7" ht="23.25" customHeight="1" x14ac:dyDescent="0.3">
      <c r="D464" s="9"/>
      <c r="G464" s="9"/>
    </row>
    <row r="465" spans="4:7" ht="23.25" customHeight="1" x14ac:dyDescent="0.3">
      <c r="D465" s="9"/>
      <c r="G465" s="9"/>
    </row>
    <row r="466" spans="4:7" ht="23.25" customHeight="1" x14ac:dyDescent="0.3">
      <c r="D466" s="9"/>
      <c r="G466" s="9"/>
    </row>
    <row r="467" spans="4:7" ht="23.25" customHeight="1" x14ac:dyDescent="0.3">
      <c r="D467" s="9"/>
      <c r="G467" s="9"/>
    </row>
    <row r="468" spans="4:7" ht="23.25" customHeight="1" x14ac:dyDescent="0.3">
      <c r="D468" s="9"/>
      <c r="G468" s="9"/>
    </row>
    <row r="469" spans="4:7" ht="23.25" customHeight="1" x14ac:dyDescent="0.3">
      <c r="D469" s="9"/>
      <c r="G469" s="9"/>
    </row>
    <row r="470" spans="4:7" ht="23.25" customHeight="1" x14ac:dyDescent="0.3">
      <c r="D470" s="9"/>
      <c r="G470" s="9"/>
    </row>
    <row r="471" spans="4:7" ht="23.25" customHeight="1" x14ac:dyDescent="0.3">
      <c r="D471" s="9"/>
      <c r="G471" s="9"/>
    </row>
    <row r="472" spans="4:7" ht="23.25" customHeight="1" x14ac:dyDescent="0.3">
      <c r="D472" s="9"/>
      <c r="G472" s="9"/>
    </row>
    <row r="473" spans="4:7" ht="23.25" customHeight="1" x14ac:dyDescent="0.3">
      <c r="D473" s="9"/>
      <c r="G473" s="9"/>
    </row>
    <row r="474" spans="4:7" ht="23.25" customHeight="1" x14ac:dyDescent="0.3">
      <c r="D474" s="9"/>
      <c r="G474" s="9"/>
    </row>
    <row r="475" spans="4:7" ht="23.25" customHeight="1" x14ac:dyDescent="0.3">
      <c r="D475" s="9"/>
      <c r="G475" s="9"/>
    </row>
    <row r="476" spans="4:7" ht="23.25" customHeight="1" x14ac:dyDescent="0.3">
      <c r="D476" s="9"/>
      <c r="G476" s="9"/>
    </row>
    <row r="477" spans="4:7" ht="23.25" customHeight="1" x14ac:dyDescent="0.3">
      <c r="D477" s="9"/>
      <c r="G477" s="9"/>
    </row>
    <row r="478" spans="4:7" ht="23.25" customHeight="1" x14ac:dyDescent="0.3">
      <c r="D478" s="9"/>
      <c r="G478" s="9"/>
    </row>
    <row r="479" spans="4:7" ht="23.25" customHeight="1" x14ac:dyDescent="0.3">
      <c r="D479" s="9"/>
      <c r="G479" s="9"/>
    </row>
    <row r="480" spans="4:7" ht="23.25" customHeight="1" x14ac:dyDescent="0.3">
      <c r="D480" s="9"/>
      <c r="G480" s="9"/>
    </row>
    <row r="481" spans="4:7" ht="23.25" customHeight="1" x14ac:dyDescent="0.3">
      <c r="D481" s="9"/>
      <c r="G481" s="9"/>
    </row>
    <row r="482" spans="4:7" ht="23.25" customHeight="1" x14ac:dyDescent="0.3">
      <c r="D482" s="9"/>
      <c r="G482" s="9"/>
    </row>
    <row r="483" spans="4:7" ht="23.25" customHeight="1" x14ac:dyDescent="0.3">
      <c r="D483" s="9"/>
      <c r="G483" s="9"/>
    </row>
    <row r="484" spans="4:7" ht="23.25" customHeight="1" x14ac:dyDescent="0.3">
      <c r="D484" s="9"/>
      <c r="G484" s="9"/>
    </row>
    <row r="485" spans="4:7" ht="23.25" customHeight="1" x14ac:dyDescent="0.3">
      <c r="D485" s="9"/>
      <c r="G485" s="9"/>
    </row>
    <row r="486" spans="4:7" ht="23.25" customHeight="1" x14ac:dyDescent="0.3">
      <c r="D486" s="9"/>
      <c r="G486" s="9"/>
    </row>
    <row r="487" spans="4:7" ht="23.25" customHeight="1" x14ac:dyDescent="0.3">
      <c r="D487" s="9"/>
      <c r="G487" s="9"/>
    </row>
    <row r="488" spans="4:7" ht="23.25" customHeight="1" x14ac:dyDescent="0.3">
      <c r="D488" s="9"/>
      <c r="G488" s="9"/>
    </row>
    <row r="489" spans="4:7" ht="23.25" customHeight="1" x14ac:dyDescent="0.3">
      <c r="D489" s="9"/>
      <c r="G489" s="9"/>
    </row>
    <row r="490" spans="4:7" ht="23.25" customHeight="1" x14ac:dyDescent="0.3">
      <c r="D490" s="9"/>
      <c r="G490" s="9"/>
    </row>
    <row r="491" spans="4:7" ht="23.25" customHeight="1" x14ac:dyDescent="0.3">
      <c r="D491" s="9"/>
      <c r="G491" s="9"/>
    </row>
    <row r="492" spans="4:7" ht="23.25" customHeight="1" x14ac:dyDescent="0.3">
      <c r="D492" s="9"/>
      <c r="G492" s="9"/>
    </row>
    <row r="493" spans="4:7" ht="23.25" customHeight="1" x14ac:dyDescent="0.3">
      <c r="D493" s="9"/>
      <c r="G493" s="9"/>
    </row>
    <row r="494" spans="4:7" ht="23.25" customHeight="1" x14ac:dyDescent="0.3">
      <c r="D494" s="9"/>
      <c r="G494" s="9"/>
    </row>
    <row r="495" spans="4:7" ht="23.25" customHeight="1" x14ac:dyDescent="0.3">
      <c r="D495" s="9"/>
      <c r="G495" s="9"/>
    </row>
    <row r="496" spans="4:7" ht="23.25" customHeight="1" x14ac:dyDescent="0.3">
      <c r="D496" s="9"/>
      <c r="G496" s="9"/>
    </row>
    <row r="497" spans="4:7" ht="23.25" customHeight="1" x14ac:dyDescent="0.3">
      <c r="D497" s="9"/>
      <c r="G497" s="9"/>
    </row>
    <row r="498" spans="4:7" ht="23.25" customHeight="1" x14ac:dyDescent="0.3">
      <c r="D498" s="9"/>
      <c r="G498" s="9"/>
    </row>
    <row r="499" spans="4:7" ht="23.25" customHeight="1" x14ac:dyDescent="0.3">
      <c r="D499" s="9"/>
      <c r="G499" s="9"/>
    </row>
    <row r="500" spans="4:7" ht="23.25" customHeight="1" x14ac:dyDescent="0.3">
      <c r="D500" s="9"/>
      <c r="G500" s="9"/>
    </row>
    <row r="501" spans="4:7" ht="23.25" customHeight="1" x14ac:dyDescent="0.3">
      <c r="D501" s="9"/>
      <c r="G501" s="9"/>
    </row>
    <row r="502" spans="4:7" ht="23.25" customHeight="1" x14ac:dyDescent="0.3">
      <c r="D502" s="9"/>
      <c r="G502" s="9"/>
    </row>
    <row r="503" spans="4:7" ht="23.25" customHeight="1" x14ac:dyDescent="0.3">
      <c r="D503" s="9"/>
      <c r="G503" s="9"/>
    </row>
    <row r="504" spans="4:7" ht="23.25" customHeight="1" x14ac:dyDescent="0.3">
      <c r="D504" s="9"/>
      <c r="G504" s="9"/>
    </row>
    <row r="505" spans="4:7" ht="23.25" customHeight="1" x14ac:dyDescent="0.3">
      <c r="D505" s="9"/>
      <c r="G505" s="9"/>
    </row>
    <row r="506" spans="4:7" ht="23.25" customHeight="1" x14ac:dyDescent="0.3">
      <c r="D506" s="9"/>
      <c r="G506" s="9"/>
    </row>
    <row r="507" spans="4:7" ht="23.25" customHeight="1" x14ac:dyDescent="0.3">
      <c r="D507" s="9"/>
      <c r="G507" s="9"/>
    </row>
    <row r="508" spans="4:7" ht="23.25" customHeight="1" x14ac:dyDescent="0.3">
      <c r="D508" s="9"/>
      <c r="G508" s="9"/>
    </row>
    <row r="509" spans="4:7" ht="23.25" customHeight="1" x14ac:dyDescent="0.3">
      <c r="D509" s="9"/>
      <c r="G509" s="9"/>
    </row>
    <row r="510" spans="4:7" ht="23.25" customHeight="1" x14ac:dyDescent="0.3">
      <c r="D510" s="9"/>
      <c r="G510" s="9"/>
    </row>
    <row r="511" spans="4:7" ht="23.25" customHeight="1" x14ac:dyDescent="0.3">
      <c r="D511" s="9"/>
      <c r="G511" s="9"/>
    </row>
    <row r="512" spans="4:7" ht="23.25" customHeight="1" x14ac:dyDescent="0.3">
      <c r="D512" s="9"/>
      <c r="G512" s="9"/>
    </row>
    <row r="513" spans="4:7" ht="23.25" customHeight="1" x14ac:dyDescent="0.3">
      <c r="D513" s="9"/>
      <c r="G513" s="9"/>
    </row>
    <row r="514" spans="4:7" ht="23.25" customHeight="1" x14ac:dyDescent="0.3">
      <c r="D514" s="9"/>
      <c r="G514" s="9"/>
    </row>
    <row r="515" spans="4:7" ht="23.25" customHeight="1" x14ac:dyDescent="0.3">
      <c r="D515" s="9"/>
      <c r="G515" s="9"/>
    </row>
    <row r="516" spans="4:7" ht="23.25" customHeight="1" x14ac:dyDescent="0.3">
      <c r="D516" s="9"/>
      <c r="G516" s="9"/>
    </row>
    <row r="517" spans="4:7" ht="23.25" customHeight="1" x14ac:dyDescent="0.3">
      <c r="D517" s="9"/>
      <c r="G517" s="9"/>
    </row>
    <row r="518" spans="4:7" ht="23.25" customHeight="1" x14ac:dyDescent="0.3">
      <c r="D518" s="9"/>
      <c r="G518" s="9"/>
    </row>
    <row r="519" spans="4:7" ht="23.25" customHeight="1" x14ac:dyDescent="0.3">
      <c r="D519" s="9"/>
      <c r="G519" s="9"/>
    </row>
    <row r="520" spans="4:7" ht="23.25" customHeight="1" x14ac:dyDescent="0.3">
      <c r="D520" s="9"/>
      <c r="G520" s="9"/>
    </row>
    <row r="521" spans="4:7" ht="23.25" customHeight="1" x14ac:dyDescent="0.3">
      <c r="D521" s="9"/>
      <c r="G521" s="9"/>
    </row>
    <row r="522" spans="4:7" ht="23.25" customHeight="1" x14ac:dyDescent="0.3">
      <c r="D522" s="9"/>
      <c r="G522" s="9"/>
    </row>
    <row r="523" spans="4:7" ht="23.25" customHeight="1" x14ac:dyDescent="0.3">
      <c r="D523" s="9"/>
      <c r="G523" s="9"/>
    </row>
    <row r="524" spans="4:7" ht="23.25" customHeight="1" x14ac:dyDescent="0.3">
      <c r="D524" s="9"/>
      <c r="G524" s="9"/>
    </row>
    <row r="525" spans="4:7" ht="23.25" customHeight="1" x14ac:dyDescent="0.3">
      <c r="D525" s="9"/>
      <c r="G525" s="9"/>
    </row>
    <row r="526" spans="4:7" ht="23.25" customHeight="1" x14ac:dyDescent="0.3">
      <c r="D526" s="9"/>
      <c r="G526" s="9"/>
    </row>
    <row r="527" spans="4:7" ht="23.25" customHeight="1" x14ac:dyDescent="0.3">
      <c r="D527" s="9"/>
      <c r="G527" s="9"/>
    </row>
    <row r="528" spans="4:7" ht="23.25" customHeight="1" x14ac:dyDescent="0.3">
      <c r="D528" s="9"/>
      <c r="G528" s="9"/>
    </row>
    <row r="529" spans="4:7" ht="23.25" customHeight="1" x14ac:dyDescent="0.3">
      <c r="D529" s="9"/>
      <c r="G529" s="9"/>
    </row>
    <row r="530" spans="4:7" ht="23.25" customHeight="1" x14ac:dyDescent="0.3">
      <c r="D530" s="9"/>
      <c r="G530" s="9"/>
    </row>
    <row r="531" spans="4:7" ht="23.25" customHeight="1" x14ac:dyDescent="0.3">
      <c r="D531" s="9"/>
      <c r="G531" s="9"/>
    </row>
    <row r="532" spans="4:7" ht="23.25" customHeight="1" x14ac:dyDescent="0.3">
      <c r="D532" s="9"/>
      <c r="G532" s="9"/>
    </row>
    <row r="533" spans="4:7" ht="23.25" customHeight="1" x14ac:dyDescent="0.3">
      <c r="D533" s="9"/>
      <c r="G533" s="9"/>
    </row>
    <row r="534" spans="4:7" ht="23.25" customHeight="1" x14ac:dyDescent="0.3">
      <c r="D534" s="9"/>
      <c r="G534" s="9"/>
    </row>
    <row r="535" spans="4:7" ht="23.25" customHeight="1" x14ac:dyDescent="0.3">
      <c r="D535" s="9"/>
      <c r="G535" s="9"/>
    </row>
    <row r="536" spans="4:7" ht="23.25" customHeight="1" x14ac:dyDescent="0.3">
      <c r="D536" s="9"/>
      <c r="G536" s="9"/>
    </row>
    <row r="537" spans="4:7" ht="23.25" customHeight="1" x14ac:dyDescent="0.3">
      <c r="D537" s="9"/>
      <c r="G537" s="9"/>
    </row>
    <row r="538" spans="4:7" ht="23.25" customHeight="1" x14ac:dyDescent="0.3">
      <c r="D538" s="9"/>
      <c r="G538" s="9"/>
    </row>
    <row r="539" spans="4:7" ht="23.25" customHeight="1" x14ac:dyDescent="0.3">
      <c r="D539" s="9"/>
      <c r="G539" s="9"/>
    </row>
    <row r="540" spans="4:7" ht="23.25" customHeight="1" x14ac:dyDescent="0.3">
      <c r="D540" s="9"/>
      <c r="G540" s="9"/>
    </row>
    <row r="541" spans="4:7" ht="23.25" customHeight="1" x14ac:dyDescent="0.3">
      <c r="D541" s="9"/>
      <c r="G541" s="9"/>
    </row>
    <row r="542" spans="4:7" ht="23.25" customHeight="1" x14ac:dyDescent="0.3">
      <c r="D542" s="9"/>
      <c r="G542" s="9"/>
    </row>
    <row r="543" spans="4:7" ht="23.25" customHeight="1" x14ac:dyDescent="0.3">
      <c r="D543" s="9"/>
      <c r="G543" s="9"/>
    </row>
    <row r="544" spans="4:7" ht="23.25" customHeight="1" x14ac:dyDescent="0.3">
      <c r="D544" s="9"/>
      <c r="G544" s="9"/>
    </row>
    <row r="545" spans="4:7" ht="23.25" customHeight="1" x14ac:dyDescent="0.3">
      <c r="D545" s="9"/>
      <c r="G545" s="9"/>
    </row>
    <row r="546" spans="4:7" ht="23.25" customHeight="1" x14ac:dyDescent="0.3">
      <c r="D546" s="9"/>
      <c r="G546" s="9"/>
    </row>
    <row r="547" spans="4:7" ht="23.25" customHeight="1" x14ac:dyDescent="0.3">
      <c r="D547" s="9"/>
      <c r="G547" s="9"/>
    </row>
    <row r="548" spans="4:7" ht="23.25" customHeight="1" x14ac:dyDescent="0.3">
      <c r="D548" s="9"/>
      <c r="G548" s="9"/>
    </row>
    <row r="549" spans="4:7" ht="23.25" customHeight="1" x14ac:dyDescent="0.3">
      <c r="D549" s="9"/>
      <c r="G549" s="9"/>
    </row>
    <row r="550" spans="4:7" ht="23.25" customHeight="1" x14ac:dyDescent="0.3">
      <c r="D550" s="9"/>
      <c r="G550" s="9"/>
    </row>
    <row r="551" spans="4:7" ht="23.25" customHeight="1" x14ac:dyDescent="0.3">
      <c r="D551" s="9"/>
      <c r="G551" s="9"/>
    </row>
    <row r="552" spans="4:7" ht="23.25" customHeight="1" x14ac:dyDescent="0.3">
      <c r="D552" s="9"/>
      <c r="G552" s="9"/>
    </row>
    <row r="553" spans="4:7" ht="23.25" customHeight="1" x14ac:dyDescent="0.3">
      <c r="D553" s="9"/>
      <c r="G553" s="9"/>
    </row>
    <row r="554" spans="4:7" ht="23.25" customHeight="1" x14ac:dyDescent="0.3">
      <c r="D554" s="9"/>
      <c r="G554" s="9"/>
    </row>
    <row r="555" spans="4:7" ht="23.25" customHeight="1" x14ac:dyDescent="0.3">
      <c r="D555" s="9"/>
      <c r="G555" s="9"/>
    </row>
    <row r="556" spans="4:7" ht="23.25" customHeight="1" x14ac:dyDescent="0.3">
      <c r="D556" s="9"/>
      <c r="G556" s="9"/>
    </row>
    <row r="557" spans="4:7" ht="23.25" customHeight="1" x14ac:dyDescent="0.3">
      <c r="D557" s="9"/>
      <c r="G557" s="9"/>
    </row>
    <row r="558" spans="4:7" ht="23.25" customHeight="1" x14ac:dyDescent="0.3">
      <c r="D558" s="9"/>
      <c r="G558" s="9"/>
    </row>
    <row r="559" spans="4:7" ht="23.25" customHeight="1" x14ac:dyDescent="0.3">
      <c r="D559" s="9"/>
      <c r="G559" s="9"/>
    </row>
    <row r="560" spans="4:7" ht="23.25" customHeight="1" x14ac:dyDescent="0.3">
      <c r="D560" s="9"/>
      <c r="G560" s="9"/>
    </row>
    <row r="561" spans="4:7" ht="23.25" customHeight="1" x14ac:dyDescent="0.3">
      <c r="D561" s="9"/>
      <c r="G561" s="9"/>
    </row>
    <row r="562" spans="4:7" ht="23.25" customHeight="1" x14ac:dyDescent="0.3">
      <c r="D562" s="9"/>
      <c r="G562" s="9"/>
    </row>
    <row r="563" spans="4:7" ht="23.25" customHeight="1" x14ac:dyDescent="0.3">
      <c r="D563" s="9"/>
      <c r="G563" s="9"/>
    </row>
    <row r="564" spans="4:7" ht="23.25" customHeight="1" x14ac:dyDescent="0.3">
      <c r="D564" s="9"/>
      <c r="G564" s="9"/>
    </row>
    <row r="565" spans="4:7" ht="23.25" customHeight="1" x14ac:dyDescent="0.3">
      <c r="D565" s="9"/>
      <c r="G565" s="9"/>
    </row>
    <row r="566" spans="4:7" ht="23.25" customHeight="1" x14ac:dyDescent="0.3">
      <c r="D566" s="9"/>
      <c r="G566" s="9"/>
    </row>
    <row r="567" spans="4:7" ht="23.25" customHeight="1" x14ac:dyDescent="0.3">
      <c r="D567" s="9"/>
      <c r="G567" s="9"/>
    </row>
    <row r="568" spans="4:7" ht="23.25" customHeight="1" x14ac:dyDescent="0.3">
      <c r="D568" s="9"/>
      <c r="G568" s="9"/>
    </row>
    <row r="569" spans="4:7" ht="23.25" customHeight="1" x14ac:dyDescent="0.3">
      <c r="D569" s="9"/>
      <c r="G569" s="9"/>
    </row>
    <row r="570" spans="4:7" ht="23.25" customHeight="1" x14ac:dyDescent="0.3">
      <c r="D570" s="9"/>
      <c r="G570" s="9"/>
    </row>
    <row r="571" spans="4:7" ht="23.25" customHeight="1" x14ac:dyDescent="0.3">
      <c r="D571" s="9"/>
      <c r="G571" s="9"/>
    </row>
    <row r="572" spans="4:7" ht="23.25" customHeight="1" x14ac:dyDescent="0.3">
      <c r="D572" s="9"/>
      <c r="G572" s="9"/>
    </row>
    <row r="573" spans="4:7" ht="23.25" customHeight="1" x14ac:dyDescent="0.3">
      <c r="D573" s="9"/>
      <c r="G573" s="9"/>
    </row>
    <row r="574" spans="4:7" ht="23.25" customHeight="1" x14ac:dyDescent="0.3">
      <c r="D574" s="9"/>
      <c r="G574" s="9"/>
    </row>
    <row r="575" spans="4:7" ht="23.25" customHeight="1" x14ac:dyDescent="0.3">
      <c r="D575" s="9"/>
      <c r="G575" s="9"/>
    </row>
    <row r="576" spans="4:7" ht="23.25" customHeight="1" x14ac:dyDescent="0.3">
      <c r="D576" s="9"/>
      <c r="G576" s="9"/>
    </row>
    <row r="577" spans="4:7" ht="23.25" customHeight="1" x14ac:dyDescent="0.3">
      <c r="D577" s="9"/>
      <c r="G577" s="9"/>
    </row>
    <row r="578" spans="4:7" ht="23.25" customHeight="1" x14ac:dyDescent="0.3">
      <c r="D578" s="9"/>
      <c r="G578" s="9"/>
    </row>
    <row r="579" spans="4:7" ht="23.25" customHeight="1" x14ac:dyDescent="0.3">
      <c r="D579" s="9"/>
      <c r="G579" s="9"/>
    </row>
    <row r="580" spans="4:7" ht="23.25" customHeight="1" x14ac:dyDescent="0.3">
      <c r="D580" s="9"/>
      <c r="G580" s="9"/>
    </row>
    <row r="581" spans="4:7" ht="23.25" customHeight="1" x14ac:dyDescent="0.3">
      <c r="D581" s="9"/>
      <c r="G581" s="9"/>
    </row>
    <row r="582" spans="4:7" ht="23.25" customHeight="1" x14ac:dyDescent="0.3">
      <c r="D582" s="9"/>
      <c r="G582" s="9"/>
    </row>
    <row r="583" spans="4:7" ht="23.25" customHeight="1" x14ac:dyDescent="0.3">
      <c r="D583" s="9"/>
      <c r="G583" s="9"/>
    </row>
    <row r="584" spans="4:7" ht="23.25" customHeight="1" x14ac:dyDescent="0.3">
      <c r="D584" s="9"/>
      <c r="G584" s="9"/>
    </row>
    <row r="585" spans="4:7" ht="23.25" customHeight="1" x14ac:dyDescent="0.3">
      <c r="D585" s="9"/>
      <c r="G585" s="9"/>
    </row>
    <row r="586" spans="4:7" ht="23.25" customHeight="1" x14ac:dyDescent="0.3">
      <c r="D586" s="9"/>
      <c r="G586" s="9"/>
    </row>
    <row r="587" spans="4:7" ht="23.25" customHeight="1" x14ac:dyDescent="0.3">
      <c r="D587" s="9"/>
      <c r="G587" s="9"/>
    </row>
    <row r="588" spans="4:7" ht="23.25" customHeight="1" x14ac:dyDescent="0.3">
      <c r="D588" s="9"/>
      <c r="G588" s="9"/>
    </row>
    <row r="589" spans="4:7" ht="23.25" customHeight="1" x14ac:dyDescent="0.3">
      <c r="D589" s="9"/>
      <c r="G589" s="9"/>
    </row>
    <row r="590" spans="4:7" ht="23.25" customHeight="1" x14ac:dyDescent="0.3">
      <c r="D590" s="9"/>
      <c r="G590" s="9"/>
    </row>
    <row r="591" spans="4:7" ht="23.25" customHeight="1" x14ac:dyDescent="0.3">
      <c r="D591" s="9"/>
      <c r="G591" s="9"/>
    </row>
    <row r="592" spans="4:7" ht="23.25" customHeight="1" x14ac:dyDescent="0.3">
      <c r="D592" s="9"/>
      <c r="G592" s="9"/>
    </row>
    <row r="593" spans="4:7" ht="23.25" customHeight="1" x14ac:dyDescent="0.3">
      <c r="D593" s="9"/>
      <c r="G593" s="9"/>
    </row>
    <row r="594" spans="4:7" ht="23.25" customHeight="1" x14ac:dyDescent="0.3">
      <c r="D594" s="9"/>
      <c r="G594" s="9"/>
    </row>
    <row r="595" spans="4:7" ht="23.25" customHeight="1" x14ac:dyDescent="0.3">
      <c r="D595" s="9"/>
      <c r="G595" s="9"/>
    </row>
    <row r="596" spans="4:7" ht="23.25" customHeight="1" x14ac:dyDescent="0.3">
      <c r="D596" s="9"/>
      <c r="G596" s="9"/>
    </row>
    <row r="597" spans="4:7" ht="23.25" customHeight="1" x14ac:dyDescent="0.3">
      <c r="D597" s="9"/>
      <c r="G597" s="9"/>
    </row>
    <row r="598" spans="4:7" ht="23.25" customHeight="1" x14ac:dyDescent="0.3">
      <c r="D598" s="9"/>
      <c r="G598" s="9"/>
    </row>
    <row r="599" spans="4:7" ht="23.25" customHeight="1" x14ac:dyDescent="0.3">
      <c r="D599" s="9"/>
      <c r="G599" s="9"/>
    </row>
    <row r="600" spans="4:7" ht="23.25" customHeight="1" x14ac:dyDescent="0.3">
      <c r="D600" s="9"/>
      <c r="G600" s="9"/>
    </row>
    <row r="601" spans="4:7" ht="23.25" customHeight="1" x14ac:dyDescent="0.3">
      <c r="D601" s="9"/>
      <c r="G601" s="9"/>
    </row>
    <row r="602" spans="4:7" ht="23.25" customHeight="1" x14ac:dyDescent="0.3">
      <c r="D602" s="9"/>
      <c r="G602" s="9"/>
    </row>
    <row r="603" spans="4:7" ht="23.25" customHeight="1" x14ac:dyDescent="0.3">
      <c r="D603" s="9"/>
      <c r="G603" s="9"/>
    </row>
    <row r="604" spans="4:7" ht="23.25" customHeight="1" x14ac:dyDescent="0.3">
      <c r="D604" s="9"/>
      <c r="G604" s="9"/>
    </row>
    <row r="605" spans="4:7" ht="23.25" customHeight="1" x14ac:dyDescent="0.3">
      <c r="D605" s="9"/>
      <c r="G605" s="9"/>
    </row>
    <row r="606" spans="4:7" ht="23.25" customHeight="1" x14ac:dyDescent="0.3">
      <c r="D606" s="9"/>
      <c r="G606" s="9"/>
    </row>
    <row r="607" spans="4:7" ht="23.25" customHeight="1" x14ac:dyDescent="0.3">
      <c r="D607" s="9"/>
      <c r="G607" s="9"/>
    </row>
    <row r="608" spans="4:7" ht="23.25" customHeight="1" x14ac:dyDescent="0.3">
      <c r="D608" s="9"/>
      <c r="G608" s="9"/>
    </row>
    <row r="609" spans="4:7" ht="23.25" customHeight="1" x14ac:dyDescent="0.3">
      <c r="D609" s="9"/>
      <c r="G609" s="9"/>
    </row>
    <row r="610" spans="4:7" ht="23.25" customHeight="1" x14ac:dyDescent="0.3">
      <c r="D610" s="9"/>
      <c r="G610" s="9"/>
    </row>
    <row r="611" spans="4:7" ht="23.25" customHeight="1" x14ac:dyDescent="0.3">
      <c r="D611" s="9"/>
      <c r="G611" s="9"/>
    </row>
    <row r="612" spans="4:7" ht="23.25" customHeight="1" x14ac:dyDescent="0.3">
      <c r="D612" s="9"/>
      <c r="G612" s="9"/>
    </row>
    <row r="613" spans="4:7" ht="23.25" customHeight="1" x14ac:dyDescent="0.3">
      <c r="D613" s="9"/>
      <c r="G613" s="9"/>
    </row>
    <row r="614" spans="4:7" ht="23.25" customHeight="1" x14ac:dyDescent="0.3">
      <c r="D614" s="9"/>
      <c r="G614" s="9"/>
    </row>
    <row r="615" spans="4:7" ht="23.25" customHeight="1" x14ac:dyDescent="0.3">
      <c r="D615" s="9"/>
      <c r="G615" s="9"/>
    </row>
    <row r="616" spans="4:7" ht="23.25" customHeight="1" x14ac:dyDescent="0.3">
      <c r="D616" s="9"/>
      <c r="G616" s="9"/>
    </row>
    <row r="617" spans="4:7" ht="23.25" customHeight="1" x14ac:dyDescent="0.3">
      <c r="D617" s="9"/>
      <c r="G617" s="9"/>
    </row>
    <row r="618" spans="4:7" ht="23.25" customHeight="1" x14ac:dyDescent="0.3">
      <c r="D618" s="9"/>
      <c r="G618" s="9"/>
    </row>
    <row r="619" spans="4:7" ht="23.25" customHeight="1" x14ac:dyDescent="0.3">
      <c r="D619" s="9"/>
      <c r="G619" s="9"/>
    </row>
    <row r="620" spans="4:7" ht="23.25" customHeight="1" x14ac:dyDescent="0.3">
      <c r="D620" s="9"/>
      <c r="G620" s="9"/>
    </row>
    <row r="621" spans="4:7" ht="23.25" customHeight="1" x14ac:dyDescent="0.3">
      <c r="D621" s="9"/>
      <c r="G621" s="9"/>
    </row>
    <row r="622" spans="4:7" ht="23.25" customHeight="1" x14ac:dyDescent="0.3">
      <c r="D622" s="9"/>
      <c r="G622" s="9"/>
    </row>
    <row r="623" spans="4:7" ht="23.25" customHeight="1" x14ac:dyDescent="0.3">
      <c r="D623" s="9"/>
      <c r="G623" s="9"/>
    </row>
    <row r="624" spans="4:7" ht="23.25" customHeight="1" x14ac:dyDescent="0.3">
      <c r="D624" s="9"/>
      <c r="G624" s="9"/>
    </row>
    <row r="625" spans="4:7" ht="23.25" customHeight="1" x14ac:dyDescent="0.3">
      <c r="D625" s="9"/>
      <c r="G625" s="9"/>
    </row>
    <row r="626" spans="4:7" ht="23.25" customHeight="1" x14ac:dyDescent="0.3">
      <c r="D626" s="9"/>
      <c r="G626" s="9"/>
    </row>
    <row r="627" spans="4:7" ht="23.25" customHeight="1" x14ac:dyDescent="0.3">
      <c r="D627" s="9"/>
      <c r="G627" s="9"/>
    </row>
    <row r="628" spans="4:7" ht="23.25" customHeight="1" x14ac:dyDescent="0.3">
      <c r="D628" s="9"/>
      <c r="G628" s="9"/>
    </row>
    <row r="629" spans="4:7" ht="23.25" customHeight="1" x14ac:dyDescent="0.3">
      <c r="D629" s="9"/>
      <c r="G629" s="9"/>
    </row>
    <row r="630" spans="4:7" ht="23.25" customHeight="1" x14ac:dyDescent="0.3">
      <c r="D630" s="9"/>
      <c r="G630" s="9"/>
    </row>
    <row r="631" spans="4:7" ht="23.25" customHeight="1" x14ac:dyDescent="0.3">
      <c r="D631" s="9"/>
      <c r="G631" s="9"/>
    </row>
    <row r="632" spans="4:7" ht="23.25" customHeight="1" x14ac:dyDescent="0.3">
      <c r="D632" s="9"/>
      <c r="G632" s="9"/>
    </row>
    <row r="633" spans="4:7" ht="23.25" customHeight="1" x14ac:dyDescent="0.3">
      <c r="D633" s="9"/>
      <c r="G633" s="9"/>
    </row>
    <row r="634" spans="4:7" ht="23.25" customHeight="1" x14ac:dyDescent="0.3">
      <c r="D634" s="9"/>
      <c r="G634" s="9"/>
    </row>
    <row r="635" spans="4:7" ht="23.25" customHeight="1" x14ac:dyDescent="0.3">
      <c r="D635" s="9"/>
      <c r="G635" s="9"/>
    </row>
    <row r="636" spans="4:7" ht="23.25" customHeight="1" x14ac:dyDescent="0.3">
      <c r="D636" s="9"/>
      <c r="G636" s="9"/>
    </row>
    <row r="637" spans="4:7" ht="23.25" customHeight="1" x14ac:dyDescent="0.3">
      <c r="D637" s="9"/>
      <c r="G637" s="9"/>
    </row>
    <row r="638" spans="4:7" ht="23.25" customHeight="1" x14ac:dyDescent="0.3">
      <c r="D638" s="9"/>
      <c r="G638" s="9"/>
    </row>
    <row r="639" spans="4:7" ht="23.25" customHeight="1" x14ac:dyDescent="0.3">
      <c r="D639" s="9"/>
      <c r="G639" s="9"/>
    </row>
    <row r="640" spans="4:7" ht="23.25" customHeight="1" x14ac:dyDescent="0.3">
      <c r="D640" s="9"/>
      <c r="G640" s="9"/>
    </row>
    <row r="641" spans="4:7" ht="23.25" customHeight="1" x14ac:dyDescent="0.3">
      <c r="D641" s="9"/>
      <c r="G641" s="9"/>
    </row>
    <row r="642" spans="4:7" ht="23.25" customHeight="1" x14ac:dyDescent="0.3">
      <c r="D642" s="9"/>
      <c r="G642" s="9"/>
    </row>
    <row r="643" spans="4:7" ht="23.25" customHeight="1" x14ac:dyDescent="0.3">
      <c r="D643" s="9"/>
      <c r="G643" s="9"/>
    </row>
    <row r="644" spans="4:7" ht="23.25" customHeight="1" x14ac:dyDescent="0.3">
      <c r="D644" s="9"/>
      <c r="G644" s="9"/>
    </row>
    <row r="645" spans="4:7" ht="23.25" customHeight="1" x14ac:dyDescent="0.3">
      <c r="D645" s="9"/>
      <c r="G645" s="9"/>
    </row>
    <row r="646" spans="4:7" ht="23.25" customHeight="1" x14ac:dyDescent="0.3">
      <c r="D646" s="9"/>
      <c r="G646" s="9"/>
    </row>
    <row r="647" spans="4:7" ht="23.25" customHeight="1" x14ac:dyDescent="0.3">
      <c r="D647" s="9"/>
      <c r="G647" s="9"/>
    </row>
    <row r="648" spans="4:7" ht="23.25" customHeight="1" x14ac:dyDescent="0.3">
      <c r="D648" s="9"/>
      <c r="G648" s="9"/>
    </row>
    <row r="649" spans="4:7" ht="23.25" customHeight="1" x14ac:dyDescent="0.3">
      <c r="D649" s="9"/>
      <c r="G649" s="9"/>
    </row>
    <row r="650" spans="4:7" ht="23.25" customHeight="1" x14ac:dyDescent="0.3">
      <c r="D650" s="9"/>
      <c r="G650" s="9"/>
    </row>
    <row r="651" spans="4:7" ht="23.25" customHeight="1" x14ac:dyDescent="0.3">
      <c r="D651" s="9"/>
      <c r="G651" s="9"/>
    </row>
    <row r="652" spans="4:7" ht="23.25" customHeight="1" x14ac:dyDescent="0.3">
      <c r="D652" s="9"/>
      <c r="G652" s="9"/>
    </row>
    <row r="653" spans="4:7" ht="23.25" customHeight="1" x14ac:dyDescent="0.3">
      <c r="D653" s="9"/>
      <c r="G653" s="9"/>
    </row>
    <row r="654" spans="4:7" ht="23.25" customHeight="1" x14ac:dyDescent="0.3">
      <c r="D654" s="9"/>
      <c r="G654" s="9"/>
    </row>
    <row r="655" spans="4:7" ht="23.25" customHeight="1" x14ac:dyDescent="0.3">
      <c r="D655" s="9"/>
      <c r="G655" s="9"/>
    </row>
    <row r="656" spans="4:7" ht="23.25" customHeight="1" x14ac:dyDescent="0.3">
      <c r="D656" s="9"/>
      <c r="G656" s="9"/>
    </row>
    <row r="657" spans="4:7" ht="23.25" customHeight="1" x14ac:dyDescent="0.3">
      <c r="D657" s="9"/>
      <c r="G657" s="9"/>
    </row>
    <row r="658" spans="4:7" ht="23.25" customHeight="1" x14ac:dyDescent="0.3">
      <c r="D658" s="9"/>
      <c r="G658" s="9"/>
    </row>
    <row r="659" spans="4:7" ht="23.25" customHeight="1" x14ac:dyDescent="0.3">
      <c r="D659" s="9"/>
      <c r="G659" s="9"/>
    </row>
    <row r="660" spans="4:7" ht="23.25" customHeight="1" x14ac:dyDescent="0.3">
      <c r="D660" s="9"/>
      <c r="G660" s="9"/>
    </row>
    <row r="661" spans="4:7" ht="23.25" customHeight="1" x14ac:dyDescent="0.3">
      <c r="D661" s="9"/>
      <c r="G661" s="9"/>
    </row>
    <row r="662" spans="4:7" ht="23.25" customHeight="1" x14ac:dyDescent="0.3">
      <c r="D662" s="9"/>
      <c r="G662" s="9"/>
    </row>
    <row r="663" spans="4:7" ht="23.25" customHeight="1" x14ac:dyDescent="0.3">
      <c r="D663" s="9"/>
      <c r="G663" s="9"/>
    </row>
    <row r="664" spans="4:7" ht="23.25" customHeight="1" x14ac:dyDescent="0.3">
      <c r="D664" s="9"/>
      <c r="G664" s="9"/>
    </row>
    <row r="665" spans="4:7" ht="23.25" customHeight="1" x14ac:dyDescent="0.3">
      <c r="D665" s="9"/>
      <c r="G665" s="9"/>
    </row>
    <row r="666" spans="4:7" ht="23.25" customHeight="1" x14ac:dyDescent="0.3">
      <c r="D666" s="9"/>
      <c r="G666" s="9"/>
    </row>
    <row r="667" spans="4:7" ht="23.25" customHeight="1" x14ac:dyDescent="0.3">
      <c r="D667" s="9"/>
      <c r="G667" s="9"/>
    </row>
    <row r="668" spans="4:7" ht="23.25" customHeight="1" x14ac:dyDescent="0.3">
      <c r="D668" s="9"/>
      <c r="G668" s="9"/>
    </row>
    <row r="669" spans="4:7" ht="23.25" customHeight="1" x14ac:dyDescent="0.3">
      <c r="D669" s="9"/>
      <c r="G669" s="9"/>
    </row>
    <row r="670" spans="4:7" ht="23.25" customHeight="1" x14ac:dyDescent="0.3">
      <c r="D670" s="9"/>
      <c r="G670" s="9"/>
    </row>
    <row r="671" spans="4:7" ht="23.25" customHeight="1" x14ac:dyDescent="0.3">
      <c r="D671" s="9"/>
      <c r="G671" s="9"/>
    </row>
    <row r="672" spans="4:7" ht="23.25" customHeight="1" x14ac:dyDescent="0.3">
      <c r="D672" s="9"/>
      <c r="G672" s="9"/>
    </row>
    <row r="673" spans="4:7" ht="23.25" customHeight="1" x14ac:dyDescent="0.3">
      <c r="D673" s="9"/>
      <c r="G673" s="9"/>
    </row>
    <row r="674" spans="4:7" ht="23.25" customHeight="1" x14ac:dyDescent="0.3">
      <c r="D674" s="9"/>
      <c r="G674" s="9"/>
    </row>
    <row r="675" spans="4:7" ht="23.25" customHeight="1" x14ac:dyDescent="0.3">
      <c r="D675" s="9"/>
      <c r="G675" s="9"/>
    </row>
    <row r="676" spans="4:7" ht="23.25" customHeight="1" x14ac:dyDescent="0.3">
      <c r="D676" s="9"/>
      <c r="G676" s="9"/>
    </row>
    <row r="677" spans="4:7" ht="23.25" customHeight="1" x14ac:dyDescent="0.3">
      <c r="D677" s="9"/>
      <c r="G677" s="9"/>
    </row>
    <row r="678" spans="4:7" ht="23.25" customHeight="1" x14ac:dyDescent="0.3">
      <c r="D678" s="9"/>
      <c r="G678" s="9"/>
    </row>
    <row r="679" spans="4:7" ht="23.25" customHeight="1" x14ac:dyDescent="0.3">
      <c r="D679" s="9"/>
      <c r="G679" s="9"/>
    </row>
    <row r="680" spans="4:7" ht="23.25" customHeight="1" x14ac:dyDescent="0.3">
      <c r="D680" s="9"/>
      <c r="G680" s="9"/>
    </row>
    <row r="681" spans="4:7" ht="23.25" customHeight="1" x14ac:dyDescent="0.3">
      <c r="D681" s="9"/>
      <c r="G681" s="9"/>
    </row>
    <row r="682" spans="4:7" ht="23.25" customHeight="1" x14ac:dyDescent="0.3">
      <c r="D682" s="9"/>
      <c r="G682" s="9"/>
    </row>
    <row r="683" spans="4:7" ht="23.25" customHeight="1" x14ac:dyDescent="0.3">
      <c r="D683" s="9"/>
      <c r="G683" s="9"/>
    </row>
    <row r="684" spans="4:7" ht="23.25" customHeight="1" x14ac:dyDescent="0.3">
      <c r="D684" s="9"/>
      <c r="G684" s="9"/>
    </row>
    <row r="685" spans="4:7" ht="23.25" customHeight="1" x14ac:dyDescent="0.3">
      <c r="D685" s="9"/>
      <c r="G685" s="9"/>
    </row>
    <row r="686" spans="4:7" ht="23.25" customHeight="1" x14ac:dyDescent="0.3">
      <c r="D686" s="9"/>
      <c r="G686" s="9"/>
    </row>
    <row r="687" spans="4:7" ht="23.25" customHeight="1" x14ac:dyDescent="0.3">
      <c r="D687" s="9"/>
      <c r="G687" s="9"/>
    </row>
    <row r="688" spans="4:7" ht="23.25" customHeight="1" x14ac:dyDescent="0.3">
      <c r="D688" s="9"/>
      <c r="G688" s="9"/>
    </row>
    <row r="689" spans="4:7" ht="23.25" customHeight="1" x14ac:dyDescent="0.3">
      <c r="D689" s="9"/>
      <c r="G689" s="9"/>
    </row>
    <row r="690" spans="4:7" ht="23.25" customHeight="1" x14ac:dyDescent="0.3">
      <c r="D690" s="9"/>
      <c r="G690" s="9"/>
    </row>
    <row r="691" spans="4:7" ht="23.25" customHeight="1" x14ac:dyDescent="0.3">
      <c r="D691" s="9"/>
      <c r="G691" s="9"/>
    </row>
    <row r="692" spans="4:7" ht="23.25" customHeight="1" x14ac:dyDescent="0.3">
      <c r="D692" s="9"/>
      <c r="G692" s="9"/>
    </row>
    <row r="693" spans="4:7" ht="23.25" customHeight="1" x14ac:dyDescent="0.3">
      <c r="D693" s="9"/>
      <c r="G693" s="9"/>
    </row>
    <row r="694" spans="4:7" ht="23.25" customHeight="1" x14ac:dyDescent="0.3">
      <c r="D694" s="9"/>
      <c r="G694" s="9"/>
    </row>
    <row r="695" spans="4:7" ht="23.25" customHeight="1" x14ac:dyDescent="0.3">
      <c r="D695" s="9"/>
      <c r="G695" s="9"/>
    </row>
    <row r="696" spans="4:7" ht="23.25" customHeight="1" x14ac:dyDescent="0.3">
      <c r="D696" s="9"/>
      <c r="G696" s="9"/>
    </row>
    <row r="697" spans="4:7" ht="23.25" customHeight="1" x14ac:dyDescent="0.3">
      <c r="D697" s="9"/>
      <c r="G697" s="9"/>
    </row>
    <row r="698" spans="4:7" ht="23.25" customHeight="1" x14ac:dyDescent="0.3">
      <c r="D698" s="9"/>
      <c r="G698" s="9"/>
    </row>
    <row r="699" spans="4:7" ht="23.25" customHeight="1" x14ac:dyDescent="0.3">
      <c r="D699" s="9"/>
      <c r="G699" s="9"/>
    </row>
    <row r="700" spans="4:7" ht="23.25" customHeight="1" x14ac:dyDescent="0.3">
      <c r="D700" s="9"/>
      <c r="G700" s="9"/>
    </row>
    <row r="701" spans="4:7" ht="23.25" customHeight="1" x14ac:dyDescent="0.3">
      <c r="D701" s="9"/>
      <c r="G701" s="9"/>
    </row>
    <row r="702" spans="4:7" ht="23.25" customHeight="1" x14ac:dyDescent="0.3">
      <c r="D702" s="9"/>
      <c r="G702" s="9"/>
    </row>
    <row r="703" spans="4:7" ht="23.25" customHeight="1" x14ac:dyDescent="0.3">
      <c r="D703" s="9"/>
      <c r="G703" s="9"/>
    </row>
    <row r="704" spans="4:7" ht="23.25" customHeight="1" x14ac:dyDescent="0.3">
      <c r="D704" s="9"/>
      <c r="G704" s="9"/>
    </row>
    <row r="705" spans="4:7" ht="23.25" customHeight="1" x14ac:dyDescent="0.3">
      <c r="D705" s="9"/>
      <c r="G705" s="9"/>
    </row>
    <row r="706" spans="4:7" ht="23.25" customHeight="1" x14ac:dyDescent="0.3">
      <c r="D706" s="9"/>
      <c r="G706" s="9"/>
    </row>
    <row r="707" spans="4:7" ht="23.25" customHeight="1" x14ac:dyDescent="0.3">
      <c r="D707" s="9"/>
      <c r="G707" s="9"/>
    </row>
    <row r="708" spans="4:7" ht="23.25" customHeight="1" x14ac:dyDescent="0.3">
      <c r="D708" s="9"/>
      <c r="G708" s="9"/>
    </row>
    <row r="709" spans="4:7" ht="23.25" customHeight="1" x14ac:dyDescent="0.3">
      <c r="D709" s="9"/>
      <c r="G709" s="9"/>
    </row>
    <row r="710" spans="4:7" ht="23.25" customHeight="1" x14ac:dyDescent="0.3">
      <c r="D710" s="9"/>
      <c r="G710" s="9"/>
    </row>
    <row r="711" spans="4:7" ht="23.25" customHeight="1" x14ac:dyDescent="0.3">
      <c r="D711" s="9"/>
      <c r="G711" s="9"/>
    </row>
    <row r="712" spans="4:7" ht="23.25" customHeight="1" x14ac:dyDescent="0.3">
      <c r="D712" s="9"/>
      <c r="G712" s="9"/>
    </row>
    <row r="713" spans="4:7" ht="23.25" customHeight="1" x14ac:dyDescent="0.3">
      <c r="D713" s="9"/>
      <c r="G713" s="9"/>
    </row>
    <row r="714" spans="4:7" ht="23.25" customHeight="1" x14ac:dyDescent="0.3">
      <c r="D714" s="9"/>
      <c r="G714" s="9"/>
    </row>
    <row r="715" spans="4:7" ht="23.25" customHeight="1" x14ac:dyDescent="0.3">
      <c r="D715" s="9"/>
      <c r="G715" s="9"/>
    </row>
    <row r="716" spans="4:7" ht="23.25" customHeight="1" x14ac:dyDescent="0.3">
      <c r="D716" s="9"/>
      <c r="G716" s="9"/>
    </row>
    <row r="717" spans="4:7" ht="23.25" customHeight="1" x14ac:dyDescent="0.3">
      <c r="D717" s="9"/>
      <c r="G717" s="9"/>
    </row>
    <row r="718" spans="4:7" ht="23.25" customHeight="1" x14ac:dyDescent="0.3">
      <c r="D718" s="9"/>
      <c r="G718" s="9"/>
    </row>
    <row r="719" spans="4:7" ht="23.25" customHeight="1" x14ac:dyDescent="0.3">
      <c r="D719" s="9"/>
      <c r="G719" s="9"/>
    </row>
    <row r="720" spans="4:7" ht="23.25" customHeight="1" x14ac:dyDescent="0.3">
      <c r="D720" s="9"/>
      <c r="G720" s="9"/>
    </row>
    <row r="721" spans="4:7" ht="23.25" customHeight="1" x14ac:dyDescent="0.3">
      <c r="D721" s="9"/>
      <c r="G721" s="9"/>
    </row>
    <row r="722" spans="4:7" ht="23.25" customHeight="1" x14ac:dyDescent="0.3">
      <c r="D722" s="9"/>
      <c r="G722" s="9"/>
    </row>
    <row r="723" spans="4:7" ht="23.25" customHeight="1" x14ac:dyDescent="0.3">
      <c r="D723" s="9"/>
      <c r="G723" s="9"/>
    </row>
    <row r="724" spans="4:7" ht="23.25" customHeight="1" x14ac:dyDescent="0.3">
      <c r="D724" s="9"/>
      <c r="G724" s="9"/>
    </row>
    <row r="725" spans="4:7" ht="23.25" customHeight="1" x14ac:dyDescent="0.3">
      <c r="D725" s="9"/>
      <c r="G725" s="9"/>
    </row>
    <row r="726" spans="4:7" ht="23.25" customHeight="1" x14ac:dyDescent="0.3">
      <c r="D726" s="9"/>
      <c r="G726" s="9"/>
    </row>
    <row r="727" spans="4:7" ht="23.25" customHeight="1" x14ac:dyDescent="0.3">
      <c r="D727" s="9"/>
      <c r="G727" s="9"/>
    </row>
    <row r="728" spans="4:7" ht="23.25" customHeight="1" x14ac:dyDescent="0.3">
      <c r="D728" s="9"/>
      <c r="G728" s="9"/>
    </row>
    <row r="729" spans="4:7" ht="23.25" customHeight="1" x14ac:dyDescent="0.3">
      <c r="D729" s="9"/>
      <c r="G729" s="9"/>
    </row>
    <row r="730" spans="4:7" ht="23.25" customHeight="1" x14ac:dyDescent="0.3">
      <c r="D730" s="9"/>
      <c r="G730" s="9"/>
    </row>
    <row r="731" spans="4:7" ht="23.25" customHeight="1" x14ac:dyDescent="0.3">
      <c r="D731" s="9"/>
      <c r="G731" s="9"/>
    </row>
    <row r="732" spans="4:7" ht="23.25" customHeight="1" x14ac:dyDescent="0.3">
      <c r="D732" s="9"/>
      <c r="G732" s="9"/>
    </row>
    <row r="733" spans="4:7" ht="23.25" customHeight="1" x14ac:dyDescent="0.3">
      <c r="D733" s="9"/>
      <c r="G733" s="9"/>
    </row>
    <row r="734" spans="4:7" ht="23.25" customHeight="1" x14ac:dyDescent="0.3">
      <c r="D734" s="9"/>
      <c r="G734" s="9"/>
    </row>
    <row r="735" spans="4:7" ht="23.25" customHeight="1" x14ac:dyDescent="0.3">
      <c r="D735" s="9"/>
      <c r="G735" s="9"/>
    </row>
    <row r="736" spans="4:7" ht="23.25" customHeight="1" x14ac:dyDescent="0.3">
      <c r="D736" s="9"/>
      <c r="G736" s="9"/>
    </row>
    <row r="737" spans="4:7" ht="23.25" customHeight="1" x14ac:dyDescent="0.3">
      <c r="D737" s="9"/>
      <c r="G737" s="9"/>
    </row>
    <row r="738" spans="4:7" ht="23.25" customHeight="1" x14ac:dyDescent="0.3">
      <c r="D738" s="9"/>
      <c r="G738" s="9"/>
    </row>
    <row r="739" spans="4:7" ht="23.25" customHeight="1" x14ac:dyDescent="0.3">
      <c r="D739" s="9"/>
      <c r="G739" s="9"/>
    </row>
    <row r="740" spans="4:7" ht="23.25" customHeight="1" x14ac:dyDescent="0.3">
      <c r="D740" s="9"/>
      <c r="G740" s="9"/>
    </row>
    <row r="741" spans="4:7" ht="23.25" customHeight="1" x14ac:dyDescent="0.3">
      <c r="D741" s="9"/>
      <c r="G741" s="9"/>
    </row>
    <row r="742" spans="4:7" ht="23.25" customHeight="1" x14ac:dyDescent="0.3">
      <c r="D742" s="9"/>
      <c r="G742" s="9"/>
    </row>
    <row r="743" spans="4:7" ht="23.25" customHeight="1" x14ac:dyDescent="0.3">
      <c r="D743" s="9"/>
      <c r="G743" s="9"/>
    </row>
    <row r="744" spans="4:7" ht="23.25" customHeight="1" x14ac:dyDescent="0.3">
      <c r="D744" s="9"/>
      <c r="G744" s="9"/>
    </row>
    <row r="745" spans="4:7" ht="23.25" customHeight="1" x14ac:dyDescent="0.3">
      <c r="D745" s="9"/>
      <c r="G745" s="9"/>
    </row>
    <row r="746" spans="4:7" ht="23.25" customHeight="1" x14ac:dyDescent="0.3">
      <c r="D746" s="9"/>
      <c r="G746" s="9"/>
    </row>
    <row r="747" spans="4:7" ht="23.25" customHeight="1" x14ac:dyDescent="0.3">
      <c r="D747" s="9"/>
      <c r="G747" s="9"/>
    </row>
    <row r="748" spans="4:7" ht="23.25" customHeight="1" x14ac:dyDescent="0.3">
      <c r="D748" s="9"/>
      <c r="G748" s="9"/>
    </row>
    <row r="749" spans="4:7" ht="23.25" customHeight="1" x14ac:dyDescent="0.3">
      <c r="D749" s="9"/>
      <c r="G749" s="9"/>
    </row>
    <row r="750" spans="4:7" ht="23.25" customHeight="1" x14ac:dyDescent="0.3">
      <c r="D750" s="9"/>
      <c r="G750" s="9"/>
    </row>
    <row r="751" spans="4:7" ht="23.25" customHeight="1" x14ac:dyDescent="0.3">
      <c r="D751" s="9"/>
      <c r="G751" s="9"/>
    </row>
    <row r="752" spans="4:7" ht="23.25" customHeight="1" x14ac:dyDescent="0.3">
      <c r="D752" s="9"/>
      <c r="G752" s="9"/>
    </row>
    <row r="753" spans="4:7" ht="23.25" customHeight="1" x14ac:dyDescent="0.3">
      <c r="D753" s="9"/>
      <c r="G753" s="9"/>
    </row>
    <row r="754" spans="4:7" ht="23.25" customHeight="1" x14ac:dyDescent="0.3">
      <c r="D754" s="9"/>
      <c r="G754" s="9"/>
    </row>
    <row r="755" spans="4:7" ht="23.25" customHeight="1" x14ac:dyDescent="0.3">
      <c r="D755" s="9"/>
      <c r="G755" s="9"/>
    </row>
    <row r="756" spans="4:7" ht="23.25" customHeight="1" x14ac:dyDescent="0.3">
      <c r="D756" s="9"/>
      <c r="G756" s="9"/>
    </row>
    <row r="757" spans="4:7" ht="23.25" customHeight="1" x14ac:dyDescent="0.3">
      <c r="D757" s="9"/>
      <c r="G757" s="9"/>
    </row>
    <row r="758" spans="4:7" ht="23.25" customHeight="1" x14ac:dyDescent="0.3">
      <c r="D758" s="9"/>
      <c r="G758" s="9"/>
    </row>
    <row r="759" spans="4:7" ht="23.25" customHeight="1" x14ac:dyDescent="0.3">
      <c r="D759" s="9"/>
      <c r="G759" s="9"/>
    </row>
    <row r="760" spans="4:7" ht="23.25" customHeight="1" x14ac:dyDescent="0.3">
      <c r="D760" s="9"/>
      <c r="G760" s="9"/>
    </row>
    <row r="761" spans="4:7" ht="23.25" customHeight="1" x14ac:dyDescent="0.3">
      <c r="D761" s="9"/>
      <c r="G761" s="9"/>
    </row>
    <row r="762" spans="4:7" ht="23.25" customHeight="1" x14ac:dyDescent="0.3">
      <c r="D762" s="9"/>
      <c r="G762" s="9"/>
    </row>
    <row r="763" spans="4:7" ht="23.25" customHeight="1" x14ac:dyDescent="0.3">
      <c r="D763" s="9"/>
      <c r="G763" s="9"/>
    </row>
    <row r="764" spans="4:7" ht="23.25" customHeight="1" x14ac:dyDescent="0.3">
      <c r="D764" s="9"/>
      <c r="G764" s="9"/>
    </row>
    <row r="765" spans="4:7" ht="23.25" customHeight="1" x14ac:dyDescent="0.3">
      <c r="D765" s="9"/>
      <c r="G765" s="9"/>
    </row>
    <row r="766" spans="4:7" ht="23.25" customHeight="1" x14ac:dyDescent="0.3">
      <c r="D766" s="9"/>
      <c r="G766" s="9"/>
    </row>
    <row r="767" spans="4:7" ht="23.25" customHeight="1" x14ac:dyDescent="0.3">
      <c r="D767" s="9"/>
      <c r="G767" s="9"/>
    </row>
    <row r="768" spans="4:7" ht="23.25" customHeight="1" x14ac:dyDescent="0.3">
      <c r="D768" s="9"/>
      <c r="G768" s="9"/>
    </row>
    <row r="769" spans="4:7" ht="23.25" customHeight="1" x14ac:dyDescent="0.3">
      <c r="D769" s="9"/>
      <c r="G769" s="9"/>
    </row>
    <row r="770" spans="4:7" ht="23.25" customHeight="1" x14ac:dyDescent="0.3">
      <c r="D770" s="9"/>
      <c r="G770" s="9"/>
    </row>
    <row r="771" spans="4:7" ht="23.25" customHeight="1" x14ac:dyDescent="0.3">
      <c r="D771" s="9"/>
      <c r="G771" s="9"/>
    </row>
    <row r="772" spans="4:7" ht="23.25" customHeight="1" x14ac:dyDescent="0.3">
      <c r="D772" s="9"/>
      <c r="G772" s="9"/>
    </row>
    <row r="773" spans="4:7" ht="23.25" customHeight="1" x14ac:dyDescent="0.3">
      <c r="D773" s="9"/>
      <c r="G773" s="9"/>
    </row>
    <row r="774" spans="4:7" ht="23.25" customHeight="1" x14ac:dyDescent="0.3">
      <c r="D774" s="9"/>
      <c r="G774" s="9"/>
    </row>
    <row r="775" spans="4:7" ht="23.25" customHeight="1" x14ac:dyDescent="0.3">
      <c r="D775" s="9"/>
      <c r="G775" s="9"/>
    </row>
    <row r="776" spans="4:7" ht="23.25" customHeight="1" x14ac:dyDescent="0.3">
      <c r="D776" s="9"/>
      <c r="G776" s="9"/>
    </row>
    <row r="777" spans="4:7" ht="23.25" customHeight="1" x14ac:dyDescent="0.3">
      <c r="D777" s="9"/>
      <c r="G777" s="9"/>
    </row>
    <row r="778" spans="4:7" ht="23.25" customHeight="1" x14ac:dyDescent="0.3">
      <c r="D778" s="9"/>
      <c r="G778" s="9"/>
    </row>
    <row r="779" spans="4:7" ht="23.25" customHeight="1" x14ac:dyDescent="0.3">
      <c r="D779" s="9"/>
      <c r="G779" s="9"/>
    </row>
    <row r="780" spans="4:7" ht="23.25" customHeight="1" x14ac:dyDescent="0.3">
      <c r="D780" s="9"/>
      <c r="G780" s="9"/>
    </row>
    <row r="781" spans="4:7" ht="23.25" customHeight="1" x14ac:dyDescent="0.3">
      <c r="D781" s="9"/>
      <c r="G781" s="9"/>
    </row>
    <row r="782" spans="4:7" ht="23.25" customHeight="1" x14ac:dyDescent="0.3">
      <c r="D782" s="9"/>
      <c r="G782" s="9"/>
    </row>
    <row r="783" spans="4:7" ht="23.25" customHeight="1" x14ac:dyDescent="0.3">
      <c r="D783" s="9"/>
      <c r="G783" s="9"/>
    </row>
    <row r="784" spans="4:7" ht="23.25" customHeight="1" x14ac:dyDescent="0.3">
      <c r="D784" s="9"/>
      <c r="G784" s="9"/>
    </row>
    <row r="785" spans="4:7" ht="23.25" customHeight="1" x14ac:dyDescent="0.3">
      <c r="D785" s="9"/>
      <c r="G785" s="9"/>
    </row>
    <row r="786" spans="4:7" ht="23.25" customHeight="1" x14ac:dyDescent="0.3">
      <c r="D786" s="9"/>
      <c r="G786" s="9"/>
    </row>
    <row r="787" spans="4:7" ht="23.25" customHeight="1" x14ac:dyDescent="0.3">
      <c r="D787" s="9"/>
      <c r="G787" s="9"/>
    </row>
    <row r="788" spans="4:7" ht="23.25" customHeight="1" x14ac:dyDescent="0.3">
      <c r="D788" s="9"/>
      <c r="G788" s="9"/>
    </row>
    <row r="789" spans="4:7" ht="23.25" customHeight="1" x14ac:dyDescent="0.3">
      <c r="D789" s="9"/>
      <c r="G789" s="9"/>
    </row>
    <row r="790" spans="4:7" ht="23.25" customHeight="1" x14ac:dyDescent="0.3">
      <c r="D790" s="9"/>
      <c r="G790" s="9"/>
    </row>
    <row r="791" spans="4:7" ht="23.25" customHeight="1" x14ac:dyDescent="0.3">
      <c r="D791" s="9"/>
      <c r="G791" s="9"/>
    </row>
    <row r="792" spans="4:7" ht="23.25" customHeight="1" x14ac:dyDescent="0.3">
      <c r="D792" s="9"/>
      <c r="G792" s="9"/>
    </row>
    <row r="793" spans="4:7" ht="23.25" customHeight="1" x14ac:dyDescent="0.3">
      <c r="D793" s="9"/>
      <c r="G793" s="9"/>
    </row>
    <row r="794" spans="4:7" ht="23.25" customHeight="1" x14ac:dyDescent="0.3">
      <c r="D794" s="9"/>
      <c r="G794" s="9"/>
    </row>
    <row r="795" spans="4:7" ht="23.25" customHeight="1" x14ac:dyDescent="0.3">
      <c r="D795" s="9"/>
      <c r="G795" s="9"/>
    </row>
    <row r="796" spans="4:7" ht="23.25" customHeight="1" x14ac:dyDescent="0.3">
      <c r="D796" s="9"/>
      <c r="G796" s="9"/>
    </row>
    <row r="797" spans="4:7" ht="23.25" customHeight="1" x14ac:dyDescent="0.3">
      <c r="D797" s="9"/>
      <c r="G797" s="9"/>
    </row>
    <row r="798" spans="4:7" ht="23.25" customHeight="1" x14ac:dyDescent="0.3">
      <c r="D798" s="9"/>
      <c r="G798" s="9"/>
    </row>
    <row r="799" spans="4:7" ht="23.25" customHeight="1" x14ac:dyDescent="0.3">
      <c r="D799" s="9"/>
      <c r="G799" s="9"/>
    </row>
    <row r="800" spans="4:7" ht="23.25" customHeight="1" x14ac:dyDescent="0.3">
      <c r="D800" s="9"/>
      <c r="G800" s="9"/>
    </row>
    <row r="801" spans="4:7" ht="23.25" customHeight="1" x14ac:dyDescent="0.3">
      <c r="D801" s="9"/>
      <c r="G801" s="9"/>
    </row>
    <row r="802" spans="4:7" ht="23.25" customHeight="1" x14ac:dyDescent="0.3">
      <c r="D802" s="9"/>
      <c r="G802" s="9"/>
    </row>
    <row r="803" spans="4:7" ht="23.25" customHeight="1" x14ac:dyDescent="0.3">
      <c r="D803" s="9"/>
      <c r="G803" s="9"/>
    </row>
    <row r="804" spans="4:7" ht="23.25" customHeight="1" x14ac:dyDescent="0.3">
      <c r="D804" s="9"/>
      <c r="G804" s="9"/>
    </row>
    <row r="805" spans="4:7" ht="23.25" customHeight="1" x14ac:dyDescent="0.3">
      <c r="D805" s="9"/>
      <c r="G805" s="9"/>
    </row>
    <row r="806" spans="4:7" ht="23.25" customHeight="1" x14ac:dyDescent="0.3">
      <c r="D806" s="9"/>
      <c r="G806" s="9"/>
    </row>
    <row r="807" spans="4:7" ht="23.25" customHeight="1" x14ac:dyDescent="0.3">
      <c r="D807" s="9"/>
      <c r="G807" s="9"/>
    </row>
    <row r="808" spans="4:7" ht="23.25" customHeight="1" x14ac:dyDescent="0.3">
      <c r="D808" s="9"/>
      <c r="G808" s="9"/>
    </row>
    <row r="809" spans="4:7" ht="23.25" customHeight="1" x14ac:dyDescent="0.3">
      <c r="D809" s="9"/>
      <c r="G809" s="9"/>
    </row>
    <row r="810" spans="4:7" ht="23.25" customHeight="1" x14ac:dyDescent="0.3">
      <c r="D810" s="9"/>
      <c r="G810" s="9"/>
    </row>
    <row r="811" spans="4:7" ht="23.25" customHeight="1" x14ac:dyDescent="0.3">
      <c r="D811" s="9"/>
      <c r="G811" s="9"/>
    </row>
    <row r="812" spans="4:7" ht="23.25" customHeight="1" x14ac:dyDescent="0.3">
      <c r="D812" s="9"/>
      <c r="G812" s="9"/>
    </row>
    <row r="813" spans="4:7" ht="23.25" customHeight="1" x14ac:dyDescent="0.3">
      <c r="D813" s="9"/>
      <c r="G813" s="9"/>
    </row>
    <row r="814" spans="4:7" ht="23.25" customHeight="1" x14ac:dyDescent="0.3">
      <c r="D814" s="9"/>
      <c r="G814" s="9"/>
    </row>
    <row r="815" spans="4:7" ht="23.25" customHeight="1" x14ac:dyDescent="0.3">
      <c r="D815" s="9"/>
      <c r="G815" s="9"/>
    </row>
    <row r="816" spans="4:7" ht="23.25" customHeight="1" x14ac:dyDescent="0.3">
      <c r="D816" s="9"/>
      <c r="G816" s="9"/>
    </row>
    <row r="817" spans="4:7" ht="23.25" customHeight="1" x14ac:dyDescent="0.3">
      <c r="D817" s="9"/>
      <c r="G817" s="9"/>
    </row>
    <row r="818" spans="4:7" ht="23.25" customHeight="1" x14ac:dyDescent="0.3">
      <c r="D818" s="9"/>
      <c r="G818" s="9"/>
    </row>
    <row r="819" spans="4:7" ht="23.25" customHeight="1" x14ac:dyDescent="0.3">
      <c r="D819" s="9"/>
      <c r="G819" s="9"/>
    </row>
    <row r="820" spans="4:7" ht="23.25" customHeight="1" x14ac:dyDescent="0.3">
      <c r="D820" s="9"/>
      <c r="G820" s="9"/>
    </row>
    <row r="821" spans="4:7" ht="23.25" customHeight="1" x14ac:dyDescent="0.3">
      <c r="D821" s="9"/>
      <c r="G821" s="9"/>
    </row>
    <row r="822" spans="4:7" ht="23.25" customHeight="1" x14ac:dyDescent="0.3">
      <c r="D822" s="9"/>
      <c r="G822" s="9"/>
    </row>
    <row r="823" spans="4:7" ht="23.25" customHeight="1" x14ac:dyDescent="0.3">
      <c r="D823" s="9"/>
      <c r="G823" s="9"/>
    </row>
    <row r="824" spans="4:7" ht="23.25" customHeight="1" x14ac:dyDescent="0.3">
      <c r="D824" s="9"/>
      <c r="G824" s="9"/>
    </row>
    <row r="825" spans="4:7" ht="23.25" customHeight="1" x14ac:dyDescent="0.3">
      <c r="D825" s="9"/>
      <c r="G825" s="9"/>
    </row>
    <row r="826" spans="4:7" ht="23.25" customHeight="1" x14ac:dyDescent="0.3">
      <c r="D826" s="9"/>
      <c r="G826" s="9"/>
    </row>
    <row r="827" spans="4:7" ht="23.25" customHeight="1" x14ac:dyDescent="0.3">
      <c r="D827" s="9"/>
      <c r="G827" s="9"/>
    </row>
    <row r="828" spans="4:7" ht="23.25" customHeight="1" x14ac:dyDescent="0.3">
      <c r="D828" s="9"/>
      <c r="G828" s="9"/>
    </row>
    <row r="829" spans="4:7" ht="23.25" customHeight="1" x14ac:dyDescent="0.3">
      <c r="D829" s="9"/>
      <c r="G829" s="9"/>
    </row>
    <row r="830" spans="4:7" ht="23.25" customHeight="1" x14ac:dyDescent="0.3">
      <c r="D830" s="9"/>
      <c r="G830" s="9"/>
    </row>
    <row r="831" spans="4:7" ht="23.25" customHeight="1" x14ac:dyDescent="0.3">
      <c r="D831" s="9"/>
      <c r="G831" s="9"/>
    </row>
    <row r="832" spans="4:7" ht="23.25" customHeight="1" x14ac:dyDescent="0.3">
      <c r="D832" s="9"/>
      <c r="G832" s="9"/>
    </row>
    <row r="833" spans="4:7" ht="23.25" customHeight="1" x14ac:dyDescent="0.3">
      <c r="D833" s="9"/>
      <c r="G833" s="9"/>
    </row>
    <row r="834" spans="4:7" ht="23.25" customHeight="1" x14ac:dyDescent="0.3">
      <c r="D834" s="9"/>
      <c r="G834" s="9"/>
    </row>
    <row r="835" spans="4:7" ht="23.25" customHeight="1" x14ac:dyDescent="0.3">
      <c r="D835" s="9"/>
      <c r="G835" s="9"/>
    </row>
    <row r="836" spans="4:7" ht="23.25" customHeight="1" x14ac:dyDescent="0.3">
      <c r="D836" s="9"/>
      <c r="G836" s="9"/>
    </row>
    <row r="837" spans="4:7" ht="23.25" customHeight="1" x14ac:dyDescent="0.3">
      <c r="D837" s="9"/>
      <c r="G837" s="9"/>
    </row>
    <row r="838" spans="4:7" ht="23.25" customHeight="1" x14ac:dyDescent="0.3">
      <c r="D838" s="9"/>
      <c r="G838" s="9"/>
    </row>
    <row r="839" spans="4:7" ht="23.25" customHeight="1" x14ac:dyDescent="0.3">
      <c r="D839" s="9"/>
      <c r="G839" s="9"/>
    </row>
    <row r="840" spans="4:7" ht="23.25" customHeight="1" x14ac:dyDescent="0.3">
      <c r="D840" s="9"/>
      <c r="G840" s="9"/>
    </row>
    <row r="841" spans="4:7" ht="23.25" customHeight="1" x14ac:dyDescent="0.3">
      <c r="D841" s="9"/>
      <c r="G841" s="9"/>
    </row>
    <row r="842" spans="4:7" ht="23.25" customHeight="1" x14ac:dyDescent="0.3">
      <c r="D842" s="9"/>
      <c r="G842" s="9"/>
    </row>
    <row r="843" spans="4:7" ht="23.25" customHeight="1" x14ac:dyDescent="0.3">
      <c r="D843" s="9"/>
      <c r="G843" s="9"/>
    </row>
    <row r="844" spans="4:7" ht="23.25" customHeight="1" x14ac:dyDescent="0.3">
      <c r="D844" s="9"/>
      <c r="G844" s="9"/>
    </row>
    <row r="845" spans="4:7" ht="23.25" customHeight="1" x14ac:dyDescent="0.3">
      <c r="D845" s="9"/>
      <c r="G845" s="9"/>
    </row>
    <row r="846" spans="4:7" ht="23.25" customHeight="1" x14ac:dyDescent="0.3">
      <c r="D846" s="9"/>
      <c r="G846" s="9"/>
    </row>
    <row r="847" spans="4:7" ht="23.25" customHeight="1" x14ac:dyDescent="0.3">
      <c r="D847" s="9"/>
      <c r="G847" s="9"/>
    </row>
    <row r="848" spans="4:7" ht="23.25" customHeight="1" x14ac:dyDescent="0.3">
      <c r="D848" s="9"/>
      <c r="G848" s="9"/>
    </row>
    <row r="849" spans="4:7" ht="23.25" customHeight="1" x14ac:dyDescent="0.3">
      <c r="D849" s="9"/>
      <c r="G849" s="9"/>
    </row>
    <row r="850" spans="4:7" ht="23.25" customHeight="1" x14ac:dyDescent="0.3">
      <c r="D850" s="9"/>
      <c r="G850" s="9"/>
    </row>
    <row r="851" spans="4:7" ht="23.25" customHeight="1" x14ac:dyDescent="0.3">
      <c r="D851" s="9"/>
      <c r="G851" s="9"/>
    </row>
    <row r="852" spans="4:7" ht="23.25" customHeight="1" x14ac:dyDescent="0.3">
      <c r="D852" s="9"/>
      <c r="G852" s="9"/>
    </row>
    <row r="853" spans="4:7" ht="23.25" customHeight="1" x14ac:dyDescent="0.3">
      <c r="D853" s="9"/>
      <c r="G853" s="9"/>
    </row>
    <row r="854" spans="4:7" ht="23.25" customHeight="1" x14ac:dyDescent="0.3">
      <c r="D854" s="9"/>
      <c r="G854" s="9"/>
    </row>
    <row r="855" spans="4:7" ht="23.25" customHeight="1" x14ac:dyDescent="0.3">
      <c r="D855" s="9"/>
      <c r="G855" s="9"/>
    </row>
    <row r="856" spans="4:7" ht="23.25" customHeight="1" x14ac:dyDescent="0.3">
      <c r="D856" s="9"/>
      <c r="G856" s="9"/>
    </row>
    <row r="857" spans="4:7" ht="23.25" customHeight="1" x14ac:dyDescent="0.3">
      <c r="D857" s="9"/>
      <c r="G857" s="9"/>
    </row>
    <row r="858" spans="4:7" ht="23.25" customHeight="1" x14ac:dyDescent="0.3">
      <c r="D858" s="9"/>
      <c r="G858" s="9"/>
    </row>
    <row r="859" spans="4:7" ht="23.25" customHeight="1" x14ac:dyDescent="0.3">
      <c r="D859" s="9"/>
      <c r="G859" s="9"/>
    </row>
    <row r="860" spans="4:7" ht="23.25" customHeight="1" x14ac:dyDescent="0.3">
      <c r="D860" s="9"/>
      <c r="G860" s="9"/>
    </row>
    <row r="861" spans="4:7" ht="23.25" customHeight="1" x14ac:dyDescent="0.3">
      <c r="D861" s="9"/>
      <c r="G861" s="9"/>
    </row>
    <row r="862" spans="4:7" ht="23.25" customHeight="1" x14ac:dyDescent="0.3">
      <c r="D862" s="9"/>
      <c r="G862" s="9"/>
    </row>
    <row r="863" spans="4:7" ht="23.25" customHeight="1" x14ac:dyDescent="0.3">
      <c r="D863" s="9"/>
      <c r="G863" s="9"/>
    </row>
    <row r="864" spans="4:7" ht="23.25" customHeight="1" x14ac:dyDescent="0.3">
      <c r="D864" s="9"/>
      <c r="G864" s="9"/>
    </row>
    <row r="865" spans="4:7" ht="23.25" customHeight="1" x14ac:dyDescent="0.3">
      <c r="D865" s="9"/>
      <c r="G865" s="9"/>
    </row>
    <row r="866" spans="4:7" ht="23.25" customHeight="1" x14ac:dyDescent="0.3">
      <c r="D866" s="9"/>
      <c r="G866" s="9"/>
    </row>
    <row r="867" spans="4:7" ht="23.25" customHeight="1" x14ac:dyDescent="0.3">
      <c r="D867" s="9"/>
      <c r="G867" s="9"/>
    </row>
    <row r="868" spans="4:7" ht="23.25" customHeight="1" x14ac:dyDescent="0.3">
      <c r="D868" s="9"/>
      <c r="G868" s="9"/>
    </row>
    <row r="869" spans="4:7" ht="23.25" customHeight="1" x14ac:dyDescent="0.3">
      <c r="D869" s="9"/>
      <c r="G869" s="9"/>
    </row>
    <row r="870" spans="4:7" ht="23.25" customHeight="1" x14ac:dyDescent="0.3">
      <c r="D870" s="9"/>
      <c r="G870" s="9"/>
    </row>
    <row r="871" spans="4:7" ht="23.25" customHeight="1" x14ac:dyDescent="0.3">
      <c r="D871" s="9"/>
      <c r="G871" s="9"/>
    </row>
    <row r="872" spans="4:7" ht="23.25" customHeight="1" x14ac:dyDescent="0.3">
      <c r="D872" s="9"/>
      <c r="G872" s="9"/>
    </row>
    <row r="873" spans="4:7" ht="23.25" customHeight="1" x14ac:dyDescent="0.3">
      <c r="D873" s="9"/>
      <c r="G873" s="9"/>
    </row>
    <row r="874" spans="4:7" ht="23.25" customHeight="1" x14ac:dyDescent="0.3">
      <c r="D874" s="9"/>
      <c r="G874" s="9"/>
    </row>
    <row r="875" spans="4:7" ht="23.25" customHeight="1" x14ac:dyDescent="0.3">
      <c r="D875" s="9"/>
      <c r="G875" s="9"/>
    </row>
    <row r="876" spans="4:7" ht="23.25" customHeight="1" x14ac:dyDescent="0.3">
      <c r="D876" s="9"/>
      <c r="G876" s="9"/>
    </row>
    <row r="877" spans="4:7" ht="23.25" customHeight="1" x14ac:dyDescent="0.3">
      <c r="D877" s="9"/>
      <c r="G877" s="9"/>
    </row>
    <row r="878" spans="4:7" ht="23.25" customHeight="1" x14ac:dyDescent="0.3">
      <c r="D878" s="9"/>
      <c r="G878" s="9"/>
    </row>
    <row r="879" spans="4:7" ht="23.25" customHeight="1" x14ac:dyDescent="0.3">
      <c r="D879" s="9"/>
      <c r="G879" s="9"/>
    </row>
    <row r="880" spans="4:7" ht="23.25" customHeight="1" x14ac:dyDescent="0.3">
      <c r="D880" s="9"/>
      <c r="G880" s="9"/>
    </row>
    <row r="881" spans="4:7" ht="23.25" customHeight="1" x14ac:dyDescent="0.3">
      <c r="D881" s="9"/>
      <c r="G881" s="9"/>
    </row>
    <row r="882" spans="4:7" ht="23.25" customHeight="1" x14ac:dyDescent="0.3">
      <c r="D882" s="9"/>
      <c r="G882" s="9"/>
    </row>
    <row r="883" spans="4:7" ht="23.25" customHeight="1" x14ac:dyDescent="0.3">
      <c r="D883" s="9"/>
      <c r="G883" s="9"/>
    </row>
    <row r="884" spans="4:7" ht="23.25" customHeight="1" x14ac:dyDescent="0.3">
      <c r="D884" s="9"/>
      <c r="G884" s="9"/>
    </row>
    <row r="885" spans="4:7" ht="23.25" customHeight="1" x14ac:dyDescent="0.3">
      <c r="D885" s="9"/>
      <c r="G885" s="9"/>
    </row>
    <row r="886" spans="4:7" ht="23.25" customHeight="1" x14ac:dyDescent="0.3">
      <c r="D886" s="9"/>
      <c r="G886" s="9"/>
    </row>
    <row r="887" spans="4:7" ht="23.25" customHeight="1" x14ac:dyDescent="0.3">
      <c r="D887" s="9"/>
      <c r="G887" s="9"/>
    </row>
    <row r="888" spans="4:7" ht="23.25" customHeight="1" x14ac:dyDescent="0.3">
      <c r="D888" s="9"/>
      <c r="G888" s="9"/>
    </row>
    <row r="889" spans="4:7" ht="23.25" customHeight="1" x14ac:dyDescent="0.3">
      <c r="D889" s="9"/>
      <c r="G889" s="9"/>
    </row>
    <row r="890" spans="4:7" ht="23.25" customHeight="1" x14ac:dyDescent="0.3">
      <c r="D890" s="9"/>
      <c r="G890" s="9"/>
    </row>
    <row r="891" spans="4:7" ht="23.25" customHeight="1" x14ac:dyDescent="0.3">
      <c r="D891" s="9"/>
      <c r="G891" s="9"/>
    </row>
    <row r="892" spans="4:7" ht="23.25" customHeight="1" x14ac:dyDescent="0.3">
      <c r="D892" s="9"/>
      <c r="G892" s="9"/>
    </row>
    <row r="893" spans="4:7" ht="23.25" customHeight="1" x14ac:dyDescent="0.3">
      <c r="D893" s="9"/>
      <c r="G893" s="9"/>
    </row>
    <row r="894" spans="4:7" ht="23.25" customHeight="1" x14ac:dyDescent="0.3">
      <c r="D894" s="9"/>
      <c r="G894" s="9"/>
    </row>
    <row r="895" spans="4:7" ht="23.25" customHeight="1" x14ac:dyDescent="0.3">
      <c r="D895" s="9"/>
      <c r="G895" s="9"/>
    </row>
    <row r="896" spans="4:7" ht="23.25" customHeight="1" x14ac:dyDescent="0.3">
      <c r="D896" s="9"/>
      <c r="G896" s="9"/>
    </row>
    <row r="897" spans="4:7" ht="23.25" customHeight="1" x14ac:dyDescent="0.3">
      <c r="D897" s="9"/>
      <c r="G897" s="9"/>
    </row>
    <row r="898" spans="4:7" ht="23.25" customHeight="1" x14ac:dyDescent="0.3">
      <c r="D898" s="9"/>
      <c r="G898" s="9"/>
    </row>
    <row r="899" spans="4:7" ht="23.25" customHeight="1" x14ac:dyDescent="0.3">
      <c r="D899" s="9"/>
      <c r="G899" s="9"/>
    </row>
    <row r="900" spans="4:7" ht="23.25" customHeight="1" x14ac:dyDescent="0.3">
      <c r="D900" s="9"/>
      <c r="G900" s="9"/>
    </row>
    <row r="901" spans="4:7" ht="23.25" customHeight="1" x14ac:dyDescent="0.3">
      <c r="D901" s="9"/>
      <c r="G901" s="9"/>
    </row>
    <row r="902" spans="4:7" ht="23.25" customHeight="1" x14ac:dyDescent="0.3">
      <c r="D902" s="9"/>
      <c r="G902" s="9"/>
    </row>
    <row r="903" spans="4:7" ht="23.25" customHeight="1" x14ac:dyDescent="0.3">
      <c r="D903" s="9"/>
      <c r="G903" s="9"/>
    </row>
    <row r="904" spans="4:7" ht="23.25" customHeight="1" x14ac:dyDescent="0.3">
      <c r="D904" s="9"/>
      <c r="G904" s="9"/>
    </row>
    <row r="905" spans="4:7" ht="23.25" customHeight="1" x14ac:dyDescent="0.3">
      <c r="D905" s="9"/>
      <c r="G905" s="9"/>
    </row>
    <row r="906" spans="4:7" ht="23.25" customHeight="1" x14ac:dyDescent="0.3">
      <c r="D906" s="9"/>
      <c r="G906" s="9"/>
    </row>
    <row r="907" spans="4:7" ht="23.25" customHeight="1" x14ac:dyDescent="0.3">
      <c r="D907" s="9"/>
      <c r="G907" s="9"/>
    </row>
    <row r="908" spans="4:7" ht="23.25" customHeight="1" x14ac:dyDescent="0.3">
      <c r="D908" s="9"/>
      <c r="G908" s="9"/>
    </row>
    <row r="909" spans="4:7" ht="23.25" customHeight="1" x14ac:dyDescent="0.3">
      <c r="D909" s="9"/>
      <c r="G909" s="9"/>
    </row>
    <row r="910" spans="4:7" ht="23.25" customHeight="1" x14ac:dyDescent="0.3">
      <c r="D910" s="9"/>
      <c r="G910" s="9"/>
    </row>
    <row r="911" spans="4:7" ht="23.25" customHeight="1" x14ac:dyDescent="0.3">
      <c r="D911" s="9"/>
      <c r="G911" s="9"/>
    </row>
    <row r="912" spans="4:7" ht="23.25" customHeight="1" x14ac:dyDescent="0.3">
      <c r="D912" s="9"/>
      <c r="G912" s="9"/>
    </row>
    <row r="913" spans="4:7" ht="23.25" customHeight="1" x14ac:dyDescent="0.3">
      <c r="D913" s="9"/>
      <c r="G913" s="9"/>
    </row>
    <row r="914" spans="4:7" ht="23.25" customHeight="1" x14ac:dyDescent="0.3">
      <c r="D914" s="9"/>
      <c r="G914" s="9"/>
    </row>
    <row r="915" spans="4:7" ht="23.25" customHeight="1" x14ac:dyDescent="0.3">
      <c r="D915" s="9"/>
      <c r="G915" s="9"/>
    </row>
    <row r="916" spans="4:7" ht="23.25" customHeight="1" x14ac:dyDescent="0.3">
      <c r="D916" s="9"/>
      <c r="G916" s="9"/>
    </row>
    <row r="917" spans="4:7" ht="23.25" customHeight="1" x14ac:dyDescent="0.3">
      <c r="D917" s="9"/>
      <c r="G917" s="9"/>
    </row>
    <row r="918" spans="4:7" ht="23.25" customHeight="1" x14ac:dyDescent="0.3">
      <c r="D918" s="9"/>
      <c r="G918" s="9"/>
    </row>
    <row r="919" spans="4:7" ht="23.25" customHeight="1" x14ac:dyDescent="0.3">
      <c r="D919" s="9"/>
      <c r="G919" s="9"/>
    </row>
    <row r="920" spans="4:7" ht="23.25" customHeight="1" x14ac:dyDescent="0.3">
      <c r="D920" s="9"/>
      <c r="G920" s="9"/>
    </row>
    <row r="921" spans="4:7" ht="23.25" customHeight="1" x14ac:dyDescent="0.3">
      <c r="D921" s="9"/>
      <c r="G921" s="9"/>
    </row>
    <row r="922" spans="4:7" ht="23.25" customHeight="1" x14ac:dyDescent="0.3">
      <c r="D922" s="9"/>
      <c r="G922" s="9"/>
    </row>
    <row r="923" spans="4:7" ht="23.25" customHeight="1" x14ac:dyDescent="0.3">
      <c r="D923" s="9"/>
      <c r="G923" s="9"/>
    </row>
    <row r="924" spans="4:7" ht="23.25" customHeight="1" x14ac:dyDescent="0.3">
      <c r="D924" s="9"/>
      <c r="G924" s="9"/>
    </row>
    <row r="925" spans="4:7" ht="23.25" customHeight="1" x14ac:dyDescent="0.3">
      <c r="D925" s="9"/>
      <c r="G925" s="9"/>
    </row>
    <row r="926" spans="4:7" ht="23.25" customHeight="1" x14ac:dyDescent="0.3">
      <c r="D926" s="9"/>
      <c r="G926" s="9"/>
    </row>
    <row r="927" spans="4:7" ht="23.25" customHeight="1" x14ac:dyDescent="0.3">
      <c r="D927" s="9"/>
      <c r="G927" s="9"/>
    </row>
    <row r="928" spans="4:7" ht="23.25" customHeight="1" x14ac:dyDescent="0.3">
      <c r="D928" s="9"/>
      <c r="G928" s="9"/>
    </row>
    <row r="929" spans="4:7" ht="23.25" customHeight="1" x14ac:dyDescent="0.3">
      <c r="D929" s="9"/>
      <c r="G929" s="9"/>
    </row>
    <row r="930" spans="4:7" ht="23.25" customHeight="1" x14ac:dyDescent="0.3">
      <c r="D930" s="9"/>
      <c r="G930" s="9"/>
    </row>
    <row r="931" spans="4:7" ht="23.25" customHeight="1" x14ac:dyDescent="0.3">
      <c r="D931" s="9"/>
      <c r="G931" s="9"/>
    </row>
    <row r="932" spans="4:7" ht="23.25" customHeight="1" x14ac:dyDescent="0.3">
      <c r="D932" s="9"/>
      <c r="G932" s="9"/>
    </row>
    <row r="933" spans="4:7" ht="23.25" customHeight="1" x14ac:dyDescent="0.3">
      <c r="D933" s="9"/>
      <c r="G933" s="9"/>
    </row>
    <row r="934" spans="4:7" ht="23.25" customHeight="1" x14ac:dyDescent="0.3">
      <c r="D934" s="9"/>
      <c r="G934" s="9"/>
    </row>
    <row r="935" spans="4:7" ht="23.25" customHeight="1" x14ac:dyDescent="0.3">
      <c r="D935" s="9"/>
      <c r="G935" s="9"/>
    </row>
    <row r="936" spans="4:7" ht="23.25" customHeight="1" x14ac:dyDescent="0.3">
      <c r="D936" s="9"/>
      <c r="G936" s="9"/>
    </row>
    <row r="937" spans="4:7" ht="23.25" customHeight="1" x14ac:dyDescent="0.3">
      <c r="D937" s="9"/>
      <c r="G937" s="9"/>
    </row>
    <row r="938" spans="4:7" ht="23.25" customHeight="1" x14ac:dyDescent="0.3">
      <c r="D938" s="9"/>
      <c r="G938" s="9"/>
    </row>
    <row r="939" spans="4:7" ht="23.25" customHeight="1" x14ac:dyDescent="0.3">
      <c r="D939" s="9"/>
      <c r="G939" s="9"/>
    </row>
    <row r="940" spans="4:7" ht="23.25" customHeight="1" x14ac:dyDescent="0.3">
      <c r="D940" s="9"/>
      <c r="G940" s="9"/>
    </row>
    <row r="941" spans="4:7" ht="23.25" customHeight="1" x14ac:dyDescent="0.3">
      <c r="D941" s="9"/>
      <c r="G941" s="9"/>
    </row>
    <row r="942" spans="4:7" ht="23.25" customHeight="1" x14ac:dyDescent="0.3">
      <c r="D942" s="9"/>
      <c r="G942" s="9"/>
    </row>
    <row r="943" spans="4:7" ht="23.25" customHeight="1" x14ac:dyDescent="0.3">
      <c r="D943" s="9"/>
      <c r="G943" s="9"/>
    </row>
    <row r="944" spans="4:7" ht="23.25" customHeight="1" x14ac:dyDescent="0.3">
      <c r="D944" s="9"/>
      <c r="G944" s="9"/>
    </row>
    <row r="945" spans="4:7" ht="23.25" customHeight="1" x14ac:dyDescent="0.3">
      <c r="D945" s="9"/>
      <c r="G945" s="9"/>
    </row>
    <row r="946" spans="4:7" ht="23.25" customHeight="1" x14ac:dyDescent="0.3">
      <c r="D946" s="9"/>
      <c r="G946" s="9"/>
    </row>
    <row r="947" spans="4:7" ht="23.25" customHeight="1" x14ac:dyDescent="0.3">
      <c r="D947" s="9"/>
      <c r="G947" s="9"/>
    </row>
    <row r="948" spans="4:7" ht="23.25" customHeight="1" x14ac:dyDescent="0.3">
      <c r="D948" s="9"/>
      <c r="G948" s="9"/>
    </row>
    <row r="949" spans="4:7" ht="23.25" customHeight="1" x14ac:dyDescent="0.3">
      <c r="D949" s="9"/>
      <c r="G949" s="9"/>
    </row>
    <row r="950" spans="4:7" ht="23.25" customHeight="1" x14ac:dyDescent="0.3">
      <c r="D950" s="9"/>
      <c r="G950" s="9"/>
    </row>
    <row r="951" spans="4:7" ht="23.25" customHeight="1" x14ac:dyDescent="0.3">
      <c r="D951" s="9"/>
      <c r="G951" s="9"/>
    </row>
    <row r="952" spans="4:7" ht="23.25" customHeight="1" x14ac:dyDescent="0.3">
      <c r="D952" s="9"/>
      <c r="G952" s="9"/>
    </row>
    <row r="953" spans="4:7" ht="23.25" customHeight="1" x14ac:dyDescent="0.3">
      <c r="D953" s="9"/>
      <c r="G953" s="9"/>
    </row>
    <row r="954" spans="4:7" ht="23.25" customHeight="1" x14ac:dyDescent="0.3">
      <c r="D954" s="9"/>
      <c r="G954" s="9"/>
    </row>
    <row r="955" spans="4:7" ht="23.25" customHeight="1" x14ac:dyDescent="0.3">
      <c r="D955" s="9"/>
      <c r="G955" s="9"/>
    </row>
    <row r="956" spans="4:7" ht="23.25" customHeight="1" x14ac:dyDescent="0.3">
      <c r="D956" s="9"/>
      <c r="G956" s="9"/>
    </row>
    <row r="957" spans="4:7" ht="23.25" customHeight="1" x14ac:dyDescent="0.3">
      <c r="D957" s="9"/>
      <c r="G957" s="9"/>
    </row>
    <row r="958" spans="4:7" ht="23.25" customHeight="1" x14ac:dyDescent="0.3">
      <c r="D958" s="9"/>
      <c r="G958" s="9"/>
    </row>
    <row r="959" spans="4:7" ht="23.25" customHeight="1" x14ac:dyDescent="0.3">
      <c r="D959" s="9"/>
      <c r="G959" s="9"/>
    </row>
    <row r="960" spans="4:7" ht="23.25" customHeight="1" x14ac:dyDescent="0.3">
      <c r="D960" s="9"/>
      <c r="G960" s="9"/>
    </row>
    <row r="961" spans="4:7" ht="23.25" customHeight="1" x14ac:dyDescent="0.3">
      <c r="D961" s="9"/>
      <c r="G961" s="9"/>
    </row>
    <row r="962" spans="4:7" ht="23.25" customHeight="1" x14ac:dyDescent="0.3">
      <c r="D962" s="9"/>
      <c r="G962" s="9"/>
    </row>
    <row r="963" spans="4:7" ht="23.25" customHeight="1" x14ac:dyDescent="0.3">
      <c r="D963" s="9"/>
      <c r="G963" s="9"/>
    </row>
    <row r="964" spans="4:7" ht="23.25" customHeight="1" x14ac:dyDescent="0.3">
      <c r="D964" s="9"/>
      <c r="G964" s="9"/>
    </row>
    <row r="965" spans="4:7" ht="23.25" customHeight="1" x14ac:dyDescent="0.3">
      <c r="D965" s="9"/>
      <c r="G965" s="9"/>
    </row>
    <row r="966" spans="4:7" ht="23.25" customHeight="1" x14ac:dyDescent="0.3">
      <c r="D966" s="9"/>
      <c r="G966" s="9"/>
    </row>
    <row r="967" spans="4:7" ht="23.25" customHeight="1" x14ac:dyDescent="0.3">
      <c r="D967" s="9"/>
      <c r="G967" s="9"/>
    </row>
    <row r="968" spans="4:7" ht="23.25" customHeight="1" x14ac:dyDescent="0.3">
      <c r="D968" s="9"/>
      <c r="G968" s="9"/>
    </row>
    <row r="969" spans="4:7" ht="23.25" customHeight="1" x14ac:dyDescent="0.3">
      <c r="D969" s="9"/>
      <c r="G969" s="9"/>
    </row>
    <row r="970" spans="4:7" ht="23.25" customHeight="1" x14ac:dyDescent="0.3">
      <c r="D970" s="9"/>
      <c r="G970" s="9"/>
    </row>
    <row r="971" spans="4:7" ht="23.25" customHeight="1" x14ac:dyDescent="0.3">
      <c r="D971" s="9"/>
      <c r="G971" s="9"/>
    </row>
    <row r="972" spans="4:7" ht="23.25" customHeight="1" x14ac:dyDescent="0.3">
      <c r="D972" s="9"/>
      <c r="G972" s="9"/>
    </row>
    <row r="973" spans="4:7" ht="23.25" customHeight="1" x14ac:dyDescent="0.3">
      <c r="D973" s="9"/>
      <c r="G973" s="9"/>
    </row>
    <row r="974" spans="4:7" ht="23.25" customHeight="1" x14ac:dyDescent="0.3">
      <c r="D974" s="9"/>
      <c r="G974" s="9"/>
    </row>
    <row r="975" spans="4:7" ht="23.25" customHeight="1" x14ac:dyDescent="0.3">
      <c r="D975" s="9"/>
      <c r="G975" s="9"/>
    </row>
    <row r="976" spans="4:7" ht="23.25" customHeight="1" x14ac:dyDescent="0.3">
      <c r="D976" s="9"/>
      <c r="G976" s="9"/>
    </row>
    <row r="977" spans="4:7" ht="23.25" customHeight="1" x14ac:dyDescent="0.3">
      <c r="D977" s="9"/>
      <c r="G977" s="9"/>
    </row>
    <row r="978" spans="4:7" ht="23.25" customHeight="1" x14ac:dyDescent="0.3">
      <c r="D978" s="9"/>
      <c r="G978" s="9"/>
    </row>
    <row r="979" spans="4:7" ht="23.25" customHeight="1" x14ac:dyDescent="0.3">
      <c r="D979" s="9"/>
      <c r="G979" s="9"/>
    </row>
    <row r="980" spans="4:7" ht="23.25" customHeight="1" x14ac:dyDescent="0.3">
      <c r="D980" s="9"/>
      <c r="G980" s="9"/>
    </row>
    <row r="981" spans="4:7" ht="23.25" customHeight="1" x14ac:dyDescent="0.3">
      <c r="D981" s="9"/>
      <c r="G981" s="9"/>
    </row>
    <row r="982" spans="4:7" ht="23.25" customHeight="1" x14ac:dyDescent="0.3">
      <c r="D982" s="9"/>
      <c r="G982" s="9"/>
    </row>
    <row r="983" spans="4:7" ht="23.25" customHeight="1" x14ac:dyDescent="0.3">
      <c r="D983" s="9"/>
      <c r="G983" s="9"/>
    </row>
    <row r="984" spans="4:7" ht="23.25" customHeight="1" x14ac:dyDescent="0.3">
      <c r="D984" s="9"/>
      <c r="G984" s="9"/>
    </row>
    <row r="985" spans="4:7" ht="23.25" customHeight="1" x14ac:dyDescent="0.3">
      <c r="D985" s="9"/>
      <c r="G985" s="9"/>
    </row>
    <row r="986" spans="4:7" ht="23.25" customHeight="1" x14ac:dyDescent="0.3">
      <c r="D986" s="9"/>
      <c r="G986" s="9"/>
    </row>
    <row r="987" spans="4:7" ht="23.25" customHeight="1" x14ac:dyDescent="0.3">
      <c r="D987" s="9"/>
      <c r="G987" s="9"/>
    </row>
    <row r="988" spans="4:7" ht="23.25" customHeight="1" x14ac:dyDescent="0.3">
      <c r="D988" s="9"/>
      <c r="G988" s="9"/>
    </row>
    <row r="989" spans="4:7" ht="23.25" customHeight="1" x14ac:dyDescent="0.3">
      <c r="D989" s="9"/>
      <c r="G989" s="9"/>
    </row>
    <row r="990" spans="4:7" ht="23.25" customHeight="1" x14ac:dyDescent="0.3">
      <c r="D990" s="9"/>
      <c r="G990" s="9"/>
    </row>
    <row r="991" spans="4:7" ht="23.25" customHeight="1" x14ac:dyDescent="0.3">
      <c r="D991" s="9"/>
      <c r="G991" s="9"/>
    </row>
    <row r="992" spans="4:7" ht="23.25" customHeight="1" x14ac:dyDescent="0.3">
      <c r="D992" s="9"/>
      <c r="G992" s="9"/>
    </row>
    <row r="993" spans="4:7" ht="23.25" customHeight="1" x14ac:dyDescent="0.3">
      <c r="D993" s="9"/>
      <c r="G993" s="9"/>
    </row>
    <row r="994" spans="4:7" ht="23.25" customHeight="1" x14ac:dyDescent="0.3">
      <c r="D994" s="9"/>
      <c r="G994" s="9"/>
    </row>
    <row r="995" spans="4:7" ht="23.25" customHeight="1" x14ac:dyDescent="0.3">
      <c r="D995" s="9"/>
      <c r="G995" s="9"/>
    </row>
    <row r="996" spans="4:7" ht="23.25" customHeight="1" x14ac:dyDescent="0.3">
      <c r="D996" s="9"/>
      <c r="G996" s="9"/>
    </row>
    <row r="997" spans="4:7" ht="23.25" customHeight="1" x14ac:dyDescent="0.3">
      <c r="D997" s="9"/>
      <c r="G997" s="9"/>
    </row>
    <row r="998" spans="4:7" ht="23.25" customHeight="1" x14ac:dyDescent="0.3">
      <c r="D998" s="9"/>
      <c r="G998" s="9"/>
    </row>
    <row r="999" spans="4:7" ht="23.25" customHeight="1" x14ac:dyDescent="0.3">
      <c r="D999" s="9"/>
      <c r="G999" s="9"/>
    </row>
    <row r="1000" spans="4:7" ht="23.25" customHeight="1" x14ac:dyDescent="0.3">
      <c r="D1000" s="9"/>
      <c r="G1000" s="9"/>
    </row>
  </sheetData>
  <printOptions horizontalCentered="1" verticalCentered="1"/>
  <pageMargins left="0.23622047244094491" right="0.23622047244094491" top="0.19685039370078741" bottom="0.19685039370078741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A1:J1000"/>
  <sheetViews>
    <sheetView showGridLines="0" workbookViewId="0"/>
  </sheetViews>
  <sheetFormatPr defaultColWidth="14.44140625" defaultRowHeight="15" customHeight="1" x14ac:dyDescent="0.3"/>
  <cols>
    <col min="1" max="1" width="36.33203125" customWidth="1"/>
    <col min="2" max="2" width="18.6640625" customWidth="1"/>
    <col min="3" max="3" width="43.88671875" customWidth="1"/>
    <col min="4" max="4" width="11.44140625" customWidth="1"/>
    <col min="5" max="5" width="9.109375" customWidth="1"/>
    <col min="6" max="6" width="20.5546875" customWidth="1"/>
    <col min="7" max="7" width="12.6640625" customWidth="1"/>
    <col min="8" max="8" width="14.5546875" customWidth="1"/>
    <col min="9" max="10" width="13.88671875" customWidth="1"/>
    <col min="11" max="26" width="8.6640625" customWidth="1"/>
  </cols>
  <sheetData>
    <row r="1" spans="1:10" ht="39" customHeight="1" x14ac:dyDescent="0.4">
      <c r="A1" s="19"/>
      <c r="B1" s="19"/>
      <c r="C1" s="8">
        <v>45894</v>
      </c>
      <c r="D1" s="13"/>
      <c r="E1" s="19"/>
      <c r="F1" s="19"/>
      <c r="G1" s="13"/>
      <c r="H1" s="19"/>
      <c r="I1" s="19"/>
      <c r="J1" s="19"/>
    </row>
    <row r="2" spans="1:10" ht="18" customHeight="1" x14ac:dyDescent="0.4">
      <c r="A2" s="10" t="str">
        <f>'Porta Guilhotina'!A2 &amp; " " &amp; 'Porta Guilhotina'!B2</f>
        <v>Orçamento 213</v>
      </c>
      <c r="B2" s="11"/>
      <c r="C2" s="36" t="str">
        <f>'Porta Guilhotina'!B3</f>
        <v>Duglas</v>
      </c>
      <c r="D2" s="13"/>
      <c r="E2" s="19"/>
      <c r="F2" s="15" t="s">
        <v>39</v>
      </c>
      <c r="G2" s="13"/>
      <c r="H2" s="19"/>
      <c r="I2" s="19"/>
      <c r="J2" s="19"/>
    </row>
    <row r="3" spans="1:10" ht="18" customHeight="1" x14ac:dyDescent="0.4">
      <c r="A3" s="10" t="s">
        <v>5</v>
      </c>
      <c r="B3" s="11"/>
      <c r="C3" s="17" t="str">
        <f>'Porta Guilhotina'!G8</f>
        <v>4x 75cm + 4x 70cm</v>
      </c>
      <c r="D3" s="13"/>
      <c r="E3" s="19"/>
      <c r="F3" s="19"/>
      <c r="G3" s="13"/>
      <c r="H3" s="19"/>
      <c r="I3" s="19"/>
      <c r="J3" s="19"/>
    </row>
    <row r="4" spans="1:10" ht="18" customHeight="1" x14ac:dyDescent="0.4">
      <c r="A4" s="10" t="s">
        <v>2</v>
      </c>
      <c r="B4" s="11"/>
      <c r="C4" s="17" t="str">
        <f>'Porta Guilhotina'!D8</f>
        <v>4x 133,5 cm</v>
      </c>
      <c r="D4" s="13"/>
      <c r="E4" s="19"/>
      <c r="F4" s="19"/>
      <c r="G4" s="13" t="s">
        <v>38</v>
      </c>
      <c r="H4" s="19"/>
      <c r="I4" s="13"/>
      <c r="J4" s="19"/>
    </row>
    <row r="5" spans="1:10" ht="18" customHeight="1" x14ac:dyDescent="0.4">
      <c r="A5" s="10" t="s">
        <v>6</v>
      </c>
      <c r="B5" s="11"/>
      <c r="C5" s="17" t="str">
        <f>'Porta Guilhotina'!H8</f>
        <v>1x 144,5 cm + 2x 70 cm</v>
      </c>
      <c r="D5" s="13"/>
      <c r="E5" s="19"/>
      <c r="F5" s="19"/>
      <c r="G5" s="13"/>
      <c r="H5" s="19"/>
      <c r="I5" s="19"/>
      <c r="J5" s="19"/>
    </row>
    <row r="6" spans="1:10" ht="18" customHeight="1" x14ac:dyDescent="0.4">
      <c r="A6" s="10" t="s">
        <v>4</v>
      </c>
      <c r="B6" s="11"/>
      <c r="C6" s="17" t="e">
        <f ca="1">'Porta Guilhotina'!F8</f>
        <v>#NAME?</v>
      </c>
      <c r="D6" s="13"/>
      <c r="E6" s="19"/>
      <c r="F6" s="19"/>
      <c r="G6" s="13"/>
      <c r="H6" s="19"/>
      <c r="I6" s="19"/>
      <c r="J6" s="19"/>
    </row>
    <row r="7" spans="1:10" ht="18" customHeight="1" x14ac:dyDescent="0.4">
      <c r="A7" s="10" t="s">
        <v>7</v>
      </c>
      <c r="B7" s="11"/>
      <c r="C7" s="17" t="str">
        <f>'Porta Guilhotina'!I8</f>
        <v>4x 65cm + 4x 72,5cm + 4x 62 cm + 4x 67 cm</v>
      </c>
      <c r="D7" s="13"/>
      <c r="E7" s="19"/>
      <c r="F7" s="19"/>
      <c r="G7" s="9">
        <f>'Porta Guilhotina'!B15</f>
        <v>136</v>
      </c>
      <c r="H7" s="19"/>
      <c r="I7" s="19"/>
      <c r="J7" s="19"/>
    </row>
    <row r="8" spans="1:10" ht="18" customHeight="1" x14ac:dyDescent="0.4">
      <c r="A8" s="10" t="s">
        <v>3</v>
      </c>
      <c r="B8" s="11"/>
      <c r="C8" s="17" t="str">
        <f>'Porta Guilhotina'!E8</f>
        <v>1 Peça de 144,5 cm + 2 Peças de 74 cm</v>
      </c>
      <c r="D8" s="13"/>
      <c r="E8" s="19"/>
      <c r="F8" s="19"/>
      <c r="G8" s="13"/>
      <c r="H8" s="19"/>
      <c r="I8" s="19"/>
      <c r="J8" s="19"/>
    </row>
    <row r="9" spans="1:10" ht="18" customHeight="1" x14ac:dyDescent="0.4">
      <c r="A9" s="10" t="str">
        <f>'Porta Guilhotina'!A10</f>
        <v>Pedra instalada</v>
      </c>
      <c r="B9" s="11"/>
      <c r="C9" s="17" t="str">
        <f>'Porta Guilhotina'!B10</f>
        <v>Não</v>
      </c>
      <c r="D9" s="13"/>
      <c r="E9" s="19"/>
      <c r="F9" s="19"/>
      <c r="G9" s="13"/>
      <c r="H9" s="19"/>
      <c r="I9" s="19"/>
      <c r="J9" s="19"/>
    </row>
    <row r="10" spans="1:10" ht="15" customHeight="1" x14ac:dyDescent="0.3">
      <c r="A10" s="21"/>
      <c r="B10" s="21"/>
      <c r="C10" s="21"/>
      <c r="D10" s="9"/>
      <c r="G10" s="9"/>
    </row>
    <row r="11" spans="1:10" ht="15" customHeight="1" x14ac:dyDescent="0.3">
      <c r="A11" s="21"/>
      <c r="B11" s="21"/>
      <c r="C11" s="21"/>
      <c r="D11" s="9"/>
      <c r="G11" s="9"/>
    </row>
    <row r="12" spans="1:10" ht="23.25" customHeight="1" x14ac:dyDescent="0.3">
      <c r="C12" s="22"/>
      <c r="D12" s="9"/>
      <c r="G12" s="9"/>
    </row>
    <row r="13" spans="1:10" ht="23.25" customHeight="1" x14ac:dyDescent="0.3">
      <c r="D13" s="9"/>
      <c r="G13" s="23"/>
    </row>
    <row r="14" spans="1:10" ht="23.25" customHeight="1" x14ac:dyDescent="0.3">
      <c r="D14" s="9"/>
      <c r="G14" s="9"/>
    </row>
    <row r="15" spans="1:10" ht="23.25" customHeight="1" x14ac:dyDescent="0.3">
      <c r="D15" s="28">
        <f>'Porta Guilhotina'!B14</f>
        <v>75</v>
      </c>
      <c r="G15" s="9"/>
    </row>
    <row r="16" spans="1:10" ht="23.25" customHeight="1" x14ac:dyDescent="0.3">
      <c r="D16" s="9"/>
      <c r="G16" s="9"/>
    </row>
    <row r="17" spans="1:9" ht="23.25" customHeight="1" x14ac:dyDescent="0.3">
      <c r="C17" s="33"/>
      <c r="D17" s="9"/>
      <c r="G17" s="9"/>
    </row>
    <row r="18" spans="1:9" ht="23.25" customHeight="1" x14ac:dyDescent="0.3">
      <c r="D18" s="9"/>
      <c r="G18" s="9"/>
    </row>
    <row r="19" spans="1:9" ht="23.25" customHeight="1" x14ac:dyDescent="0.3">
      <c r="D19" s="9"/>
      <c r="G19" s="9"/>
    </row>
    <row r="20" spans="1:9" ht="23.25" customHeight="1" x14ac:dyDescent="0.3">
      <c r="C20" s="27" t="str">
        <f>'Porta Guilhotina'!B5</f>
        <v>210,5</v>
      </c>
      <c r="D20" s="9"/>
      <c r="G20" s="9"/>
    </row>
    <row r="21" spans="1:9" ht="23.25" customHeight="1" x14ac:dyDescent="0.3">
      <c r="D21" s="22"/>
      <c r="G21" s="9"/>
    </row>
    <row r="22" spans="1:9" ht="23.25" customHeight="1" x14ac:dyDescent="0.3">
      <c r="D22" s="9"/>
      <c r="G22" s="9"/>
    </row>
    <row r="23" spans="1:9" ht="23.25" customHeight="1" x14ac:dyDescent="0.5">
      <c r="A23" s="25"/>
      <c r="B23" s="25"/>
      <c r="D23" s="9"/>
      <c r="E23" s="40"/>
      <c r="F23" s="41">
        <f>'Porta Guilhotina'!B18</f>
        <v>66.5</v>
      </c>
      <c r="G23" s="9"/>
      <c r="I23" s="41">
        <f>'Porta Guilhotina'!B18</f>
        <v>66.5</v>
      </c>
    </row>
    <row r="24" spans="1:9" ht="23.25" customHeight="1" x14ac:dyDescent="0.3">
      <c r="D24" s="9"/>
      <c r="G24" s="9"/>
    </row>
    <row r="25" spans="1:9" ht="23.25" customHeight="1" x14ac:dyDescent="0.3">
      <c r="D25" s="9"/>
      <c r="G25" s="9"/>
    </row>
    <row r="26" spans="1:9" ht="23.25" customHeight="1" x14ac:dyDescent="0.3">
      <c r="D26" s="9"/>
      <c r="G26" s="9"/>
    </row>
    <row r="27" spans="1:9" ht="23.25" customHeight="1" x14ac:dyDescent="0.3">
      <c r="D27" s="9"/>
      <c r="G27" s="9"/>
    </row>
    <row r="28" spans="1:9" ht="23.25" customHeight="1" x14ac:dyDescent="0.45">
      <c r="D28" s="42">
        <f>'Porta Guilhotina'!B17</f>
        <v>61.5</v>
      </c>
      <c r="E28" s="35"/>
      <c r="G28" s="28">
        <f>'Porta Guilhotina'!B17</f>
        <v>61.5</v>
      </c>
    </row>
    <row r="29" spans="1:9" ht="23.25" customHeight="1" x14ac:dyDescent="0.3">
      <c r="C29" s="26"/>
      <c r="D29" s="9"/>
      <c r="G29" s="9"/>
    </row>
    <row r="30" spans="1:9" ht="23.25" customHeight="1" x14ac:dyDescent="0.3">
      <c r="D30" s="9"/>
      <c r="G30" s="9"/>
    </row>
    <row r="31" spans="1:9" ht="23.25" customHeight="1" x14ac:dyDescent="0.3">
      <c r="A31" s="26" t="str">
        <f>'Porta Guilhotina'!B6</f>
        <v>144,5</v>
      </c>
      <c r="C31" s="24">
        <f>'Porta Guilhotina'!B7</f>
        <v>78</v>
      </c>
      <c r="D31" s="9"/>
      <c r="G31" s="9"/>
    </row>
    <row r="32" spans="1:9" ht="23.25" customHeight="1" x14ac:dyDescent="0.3">
      <c r="D32" s="9"/>
      <c r="G32" s="9"/>
    </row>
    <row r="33" spans="1:9" ht="23.25" customHeight="1" x14ac:dyDescent="0.55000000000000004">
      <c r="A33" s="34"/>
      <c r="D33" s="9"/>
      <c r="G33" s="9"/>
      <c r="I33" s="29"/>
    </row>
    <row r="34" spans="1:9" ht="23.25" customHeight="1" x14ac:dyDescent="0.3">
      <c r="D34" s="9"/>
      <c r="G34" s="9"/>
    </row>
    <row r="35" spans="1:9" ht="23.25" customHeight="1" x14ac:dyDescent="0.3">
      <c r="C35" s="30"/>
      <c r="D35" s="9"/>
      <c r="G35" s="9"/>
    </row>
    <row r="36" spans="1:9" ht="23.25" customHeight="1" x14ac:dyDescent="0.3">
      <c r="D36" s="9"/>
      <c r="G36" s="9"/>
    </row>
    <row r="37" spans="1:9" ht="23.25" customHeight="1" x14ac:dyDescent="0.3">
      <c r="D37" s="9"/>
      <c r="G37" s="9"/>
    </row>
    <row r="38" spans="1:9" ht="23.25" customHeight="1" x14ac:dyDescent="0.3">
      <c r="D38" s="9"/>
      <c r="G38" s="9"/>
    </row>
    <row r="39" spans="1:9" ht="23.25" customHeight="1" x14ac:dyDescent="0.3">
      <c r="D39" s="9"/>
      <c r="G39" s="9"/>
    </row>
    <row r="40" spans="1:9" ht="23.25" customHeight="1" x14ac:dyDescent="0.3">
      <c r="D40" s="9"/>
      <c r="G40" s="9"/>
    </row>
    <row r="41" spans="1:9" ht="23.25" customHeight="1" x14ac:dyDescent="0.3">
      <c r="D41" s="9"/>
      <c r="G41" s="9"/>
    </row>
    <row r="42" spans="1:9" ht="23.25" customHeight="1" x14ac:dyDescent="0.3">
      <c r="D42" s="9"/>
      <c r="G42" s="9"/>
    </row>
    <row r="43" spans="1:9" ht="23.25" customHeight="1" x14ac:dyDescent="0.3">
      <c r="D43" s="9"/>
      <c r="G43" s="9"/>
    </row>
    <row r="44" spans="1:9" ht="23.25" customHeight="1" x14ac:dyDescent="0.3">
      <c r="D44" s="9"/>
      <c r="G44" s="9"/>
    </row>
    <row r="45" spans="1:9" ht="23.25" customHeight="1" x14ac:dyDescent="0.3">
      <c r="D45" s="9"/>
      <c r="G45" s="9"/>
    </row>
    <row r="46" spans="1:9" ht="23.25" customHeight="1" x14ac:dyDescent="0.3">
      <c r="D46" s="9"/>
      <c r="G46" s="9"/>
    </row>
    <row r="47" spans="1:9" ht="23.25" customHeight="1" x14ac:dyDescent="0.3">
      <c r="D47" s="9"/>
      <c r="G47" s="9"/>
    </row>
    <row r="48" spans="1:9" ht="23.25" customHeight="1" x14ac:dyDescent="0.3">
      <c r="D48" s="9"/>
      <c r="G48" s="9"/>
    </row>
    <row r="49" spans="4:7" ht="23.25" customHeight="1" x14ac:dyDescent="0.3">
      <c r="D49" s="9"/>
      <c r="G49" s="9"/>
    </row>
    <row r="50" spans="4:7" ht="23.25" customHeight="1" x14ac:dyDescent="0.3">
      <c r="D50" s="9"/>
      <c r="G50" s="9"/>
    </row>
    <row r="51" spans="4:7" ht="23.25" customHeight="1" x14ac:dyDescent="0.3">
      <c r="D51" s="9"/>
      <c r="G51" s="9"/>
    </row>
    <row r="52" spans="4:7" ht="23.25" customHeight="1" x14ac:dyDescent="0.3">
      <c r="D52" s="9"/>
      <c r="G52" s="9"/>
    </row>
    <row r="53" spans="4:7" ht="23.25" customHeight="1" x14ac:dyDescent="0.3">
      <c r="D53" s="9"/>
      <c r="G53" s="9"/>
    </row>
    <row r="54" spans="4:7" ht="23.25" customHeight="1" x14ac:dyDescent="0.3">
      <c r="D54" s="9"/>
      <c r="G54" s="9"/>
    </row>
    <row r="55" spans="4:7" ht="23.25" customHeight="1" x14ac:dyDescent="0.3">
      <c r="D55" s="9"/>
      <c r="G55" s="9"/>
    </row>
    <row r="56" spans="4:7" ht="23.25" customHeight="1" x14ac:dyDescent="0.3">
      <c r="D56" s="9"/>
      <c r="G56" s="9"/>
    </row>
    <row r="57" spans="4:7" ht="23.25" customHeight="1" x14ac:dyDescent="0.3">
      <c r="D57" s="9"/>
      <c r="G57" s="9"/>
    </row>
    <row r="58" spans="4:7" ht="23.25" customHeight="1" x14ac:dyDescent="0.3">
      <c r="D58" s="9"/>
      <c r="G58" s="9"/>
    </row>
    <row r="59" spans="4:7" ht="23.25" customHeight="1" x14ac:dyDescent="0.3">
      <c r="D59" s="9"/>
      <c r="G59" s="9"/>
    </row>
    <row r="60" spans="4:7" ht="23.25" customHeight="1" x14ac:dyDescent="0.3">
      <c r="D60" s="9"/>
      <c r="G60" s="9"/>
    </row>
    <row r="61" spans="4:7" ht="23.25" customHeight="1" x14ac:dyDescent="0.3">
      <c r="D61" s="9"/>
      <c r="G61" s="9"/>
    </row>
    <row r="62" spans="4:7" ht="23.25" customHeight="1" x14ac:dyDescent="0.3">
      <c r="D62" s="9"/>
      <c r="G62" s="9"/>
    </row>
    <row r="63" spans="4:7" ht="23.25" customHeight="1" x14ac:dyDescent="0.3">
      <c r="D63" s="9"/>
      <c r="G63" s="9"/>
    </row>
    <row r="64" spans="4:7" ht="23.25" customHeight="1" x14ac:dyDescent="0.3">
      <c r="D64" s="9"/>
      <c r="G64" s="9"/>
    </row>
    <row r="65" spans="4:7" ht="23.25" customHeight="1" x14ac:dyDescent="0.3">
      <c r="D65" s="9"/>
      <c r="G65" s="9"/>
    </row>
    <row r="66" spans="4:7" ht="23.25" customHeight="1" x14ac:dyDescent="0.3">
      <c r="D66" s="9"/>
      <c r="G66" s="9"/>
    </row>
    <row r="67" spans="4:7" ht="23.25" customHeight="1" x14ac:dyDescent="0.3">
      <c r="D67" s="9"/>
      <c r="G67" s="9"/>
    </row>
    <row r="68" spans="4:7" ht="23.25" customHeight="1" x14ac:dyDescent="0.3">
      <c r="D68" s="9"/>
      <c r="G68" s="9"/>
    </row>
    <row r="69" spans="4:7" ht="23.25" customHeight="1" x14ac:dyDescent="0.3">
      <c r="D69" s="9"/>
      <c r="G69" s="9"/>
    </row>
    <row r="70" spans="4:7" ht="23.25" customHeight="1" x14ac:dyDescent="0.3">
      <c r="D70" s="9"/>
      <c r="G70" s="9"/>
    </row>
    <row r="71" spans="4:7" ht="23.25" customHeight="1" x14ac:dyDescent="0.3">
      <c r="D71" s="9"/>
      <c r="G71" s="9"/>
    </row>
    <row r="72" spans="4:7" ht="23.25" customHeight="1" x14ac:dyDescent="0.3">
      <c r="D72" s="9"/>
      <c r="G72" s="9"/>
    </row>
    <row r="73" spans="4:7" ht="23.25" customHeight="1" x14ac:dyDescent="0.3">
      <c r="D73" s="9"/>
      <c r="G73" s="9"/>
    </row>
    <row r="74" spans="4:7" ht="23.25" customHeight="1" x14ac:dyDescent="0.3">
      <c r="D74" s="9"/>
      <c r="G74" s="9"/>
    </row>
    <row r="75" spans="4:7" ht="23.25" customHeight="1" x14ac:dyDescent="0.3">
      <c r="D75" s="9"/>
      <c r="G75" s="9"/>
    </row>
    <row r="76" spans="4:7" ht="23.25" customHeight="1" x14ac:dyDescent="0.3">
      <c r="D76" s="9"/>
      <c r="G76" s="9"/>
    </row>
    <row r="77" spans="4:7" ht="23.25" customHeight="1" x14ac:dyDescent="0.3">
      <c r="D77" s="9"/>
      <c r="G77" s="9"/>
    </row>
    <row r="78" spans="4:7" ht="23.25" customHeight="1" x14ac:dyDescent="0.3">
      <c r="D78" s="9"/>
      <c r="G78" s="9"/>
    </row>
    <row r="79" spans="4:7" ht="23.25" customHeight="1" x14ac:dyDescent="0.3">
      <c r="D79" s="9"/>
      <c r="G79" s="9"/>
    </row>
    <row r="80" spans="4:7" ht="23.25" customHeight="1" x14ac:dyDescent="0.3">
      <c r="D80" s="9"/>
      <c r="G80" s="9"/>
    </row>
    <row r="81" spans="4:7" ht="23.25" customHeight="1" x14ac:dyDescent="0.3">
      <c r="D81" s="9"/>
      <c r="G81" s="9"/>
    </row>
    <row r="82" spans="4:7" ht="23.25" customHeight="1" x14ac:dyDescent="0.3">
      <c r="D82" s="9"/>
      <c r="G82" s="9"/>
    </row>
    <row r="83" spans="4:7" ht="23.25" customHeight="1" x14ac:dyDescent="0.3">
      <c r="D83" s="9"/>
      <c r="G83" s="9"/>
    </row>
    <row r="84" spans="4:7" ht="23.25" customHeight="1" x14ac:dyDescent="0.3">
      <c r="D84" s="9"/>
      <c r="G84" s="9"/>
    </row>
    <row r="85" spans="4:7" ht="23.25" customHeight="1" x14ac:dyDescent="0.3">
      <c r="D85" s="9"/>
      <c r="G85" s="9"/>
    </row>
    <row r="86" spans="4:7" ht="23.25" customHeight="1" x14ac:dyDescent="0.3">
      <c r="D86" s="9"/>
      <c r="G86" s="9"/>
    </row>
    <row r="87" spans="4:7" ht="23.25" customHeight="1" x14ac:dyDescent="0.3">
      <c r="D87" s="9"/>
      <c r="G87" s="9"/>
    </row>
    <row r="88" spans="4:7" ht="23.25" customHeight="1" x14ac:dyDescent="0.3">
      <c r="D88" s="9"/>
      <c r="G88" s="9"/>
    </row>
    <row r="89" spans="4:7" ht="23.25" customHeight="1" x14ac:dyDescent="0.3">
      <c r="D89" s="9"/>
      <c r="G89" s="9"/>
    </row>
    <row r="90" spans="4:7" ht="23.25" customHeight="1" x14ac:dyDescent="0.3">
      <c r="D90" s="9"/>
      <c r="G90" s="9"/>
    </row>
    <row r="91" spans="4:7" ht="23.25" customHeight="1" x14ac:dyDescent="0.3">
      <c r="D91" s="9"/>
      <c r="G91" s="9"/>
    </row>
    <row r="92" spans="4:7" ht="23.25" customHeight="1" x14ac:dyDescent="0.3">
      <c r="D92" s="9"/>
      <c r="G92" s="9"/>
    </row>
    <row r="93" spans="4:7" ht="23.25" customHeight="1" x14ac:dyDescent="0.3">
      <c r="D93" s="9"/>
      <c r="G93" s="9"/>
    </row>
    <row r="94" spans="4:7" ht="23.25" customHeight="1" x14ac:dyDescent="0.3">
      <c r="D94" s="9"/>
      <c r="G94" s="9"/>
    </row>
    <row r="95" spans="4:7" ht="23.25" customHeight="1" x14ac:dyDescent="0.3">
      <c r="D95" s="9"/>
      <c r="G95" s="9"/>
    </row>
    <row r="96" spans="4:7" ht="23.25" customHeight="1" x14ac:dyDescent="0.3">
      <c r="D96" s="9"/>
      <c r="G96" s="9"/>
    </row>
    <row r="97" spans="4:7" ht="23.25" customHeight="1" x14ac:dyDescent="0.3">
      <c r="D97" s="9"/>
      <c r="G97" s="9"/>
    </row>
    <row r="98" spans="4:7" ht="23.25" customHeight="1" x14ac:dyDescent="0.3">
      <c r="D98" s="9"/>
      <c r="G98" s="9"/>
    </row>
    <row r="99" spans="4:7" ht="23.25" customHeight="1" x14ac:dyDescent="0.3">
      <c r="D99" s="9"/>
      <c r="G99" s="9"/>
    </row>
    <row r="100" spans="4:7" ht="23.25" customHeight="1" x14ac:dyDescent="0.3">
      <c r="D100" s="9"/>
      <c r="G100" s="9"/>
    </row>
    <row r="101" spans="4:7" ht="23.25" customHeight="1" x14ac:dyDescent="0.3">
      <c r="D101" s="9"/>
      <c r="G101" s="9"/>
    </row>
    <row r="102" spans="4:7" ht="23.25" customHeight="1" x14ac:dyDescent="0.3">
      <c r="D102" s="9"/>
      <c r="G102" s="9"/>
    </row>
    <row r="103" spans="4:7" ht="23.25" customHeight="1" x14ac:dyDescent="0.3">
      <c r="D103" s="9"/>
      <c r="G103" s="9"/>
    </row>
    <row r="104" spans="4:7" ht="23.25" customHeight="1" x14ac:dyDescent="0.3">
      <c r="D104" s="9"/>
      <c r="G104" s="9"/>
    </row>
    <row r="105" spans="4:7" ht="23.25" customHeight="1" x14ac:dyDescent="0.3">
      <c r="D105" s="9"/>
      <c r="G105" s="9"/>
    </row>
    <row r="106" spans="4:7" ht="23.25" customHeight="1" x14ac:dyDescent="0.3">
      <c r="D106" s="9"/>
      <c r="G106" s="9"/>
    </row>
    <row r="107" spans="4:7" ht="23.25" customHeight="1" x14ac:dyDescent="0.3">
      <c r="D107" s="9"/>
      <c r="G107" s="9"/>
    </row>
    <row r="108" spans="4:7" ht="23.25" customHeight="1" x14ac:dyDescent="0.3">
      <c r="D108" s="9"/>
      <c r="G108" s="9"/>
    </row>
    <row r="109" spans="4:7" ht="23.25" customHeight="1" x14ac:dyDescent="0.3">
      <c r="D109" s="9"/>
      <c r="G109" s="9"/>
    </row>
    <row r="110" spans="4:7" ht="23.25" customHeight="1" x14ac:dyDescent="0.3">
      <c r="D110" s="9"/>
      <c r="G110" s="9"/>
    </row>
    <row r="111" spans="4:7" ht="23.25" customHeight="1" x14ac:dyDescent="0.3">
      <c r="D111" s="9"/>
      <c r="G111" s="9"/>
    </row>
    <row r="112" spans="4:7" ht="23.25" customHeight="1" x14ac:dyDescent="0.3">
      <c r="D112" s="9"/>
      <c r="G112" s="9"/>
    </row>
    <row r="113" spans="4:7" ht="23.25" customHeight="1" x14ac:dyDescent="0.3">
      <c r="D113" s="9"/>
      <c r="G113" s="9"/>
    </row>
    <row r="114" spans="4:7" ht="23.25" customHeight="1" x14ac:dyDescent="0.3">
      <c r="D114" s="9"/>
      <c r="G114" s="9"/>
    </row>
    <row r="115" spans="4:7" ht="23.25" customHeight="1" x14ac:dyDescent="0.3">
      <c r="D115" s="9"/>
      <c r="G115" s="9"/>
    </row>
    <row r="116" spans="4:7" ht="23.25" customHeight="1" x14ac:dyDescent="0.3">
      <c r="D116" s="9"/>
      <c r="G116" s="9"/>
    </row>
    <row r="117" spans="4:7" ht="23.25" customHeight="1" x14ac:dyDescent="0.3">
      <c r="D117" s="9"/>
      <c r="G117" s="9"/>
    </row>
    <row r="118" spans="4:7" ht="23.25" customHeight="1" x14ac:dyDescent="0.3">
      <c r="D118" s="9"/>
      <c r="G118" s="9"/>
    </row>
    <row r="119" spans="4:7" ht="23.25" customHeight="1" x14ac:dyDescent="0.3">
      <c r="D119" s="9"/>
      <c r="G119" s="9"/>
    </row>
    <row r="120" spans="4:7" ht="23.25" customHeight="1" x14ac:dyDescent="0.3">
      <c r="D120" s="9"/>
      <c r="G120" s="9"/>
    </row>
    <row r="121" spans="4:7" ht="23.25" customHeight="1" x14ac:dyDescent="0.3">
      <c r="D121" s="9"/>
      <c r="G121" s="9"/>
    </row>
    <row r="122" spans="4:7" ht="23.25" customHeight="1" x14ac:dyDescent="0.3">
      <c r="D122" s="9"/>
      <c r="G122" s="9"/>
    </row>
    <row r="123" spans="4:7" ht="23.25" customHeight="1" x14ac:dyDescent="0.3">
      <c r="D123" s="9"/>
      <c r="G123" s="9"/>
    </row>
    <row r="124" spans="4:7" ht="23.25" customHeight="1" x14ac:dyDescent="0.3">
      <c r="D124" s="9"/>
      <c r="G124" s="9"/>
    </row>
    <row r="125" spans="4:7" ht="23.25" customHeight="1" x14ac:dyDescent="0.3">
      <c r="D125" s="9"/>
      <c r="G125" s="9"/>
    </row>
    <row r="126" spans="4:7" ht="23.25" customHeight="1" x14ac:dyDescent="0.3">
      <c r="D126" s="9"/>
      <c r="G126" s="9"/>
    </row>
    <row r="127" spans="4:7" ht="23.25" customHeight="1" x14ac:dyDescent="0.3">
      <c r="D127" s="9"/>
      <c r="G127" s="9"/>
    </row>
    <row r="128" spans="4:7" ht="23.25" customHeight="1" x14ac:dyDescent="0.3">
      <c r="D128" s="9"/>
      <c r="G128" s="9"/>
    </row>
    <row r="129" spans="4:7" ht="23.25" customHeight="1" x14ac:dyDescent="0.3">
      <c r="D129" s="9"/>
      <c r="G129" s="9"/>
    </row>
    <row r="130" spans="4:7" ht="23.25" customHeight="1" x14ac:dyDescent="0.3">
      <c r="D130" s="9"/>
      <c r="G130" s="9"/>
    </row>
    <row r="131" spans="4:7" ht="23.25" customHeight="1" x14ac:dyDescent="0.3">
      <c r="D131" s="9"/>
      <c r="G131" s="9"/>
    </row>
    <row r="132" spans="4:7" ht="23.25" customHeight="1" x14ac:dyDescent="0.3">
      <c r="D132" s="9"/>
      <c r="G132" s="9"/>
    </row>
    <row r="133" spans="4:7" ht="23.25" customHeight="1" x14ac:dyDescent="0.3">
      <c r="D133" s="9"/>
      <c r="G133" s="9"/>
    </row>
    <row r="134" spans="4:7" ht="23.25" customHeight="1" x14ac:dyDescent="0.3">
      <c r="D134" s="9"/>
      <c r="G134" s="9"/>
    </row>
    <row r="135" spans="4:7" ht="23.25" customHeight="1" x14ac:dyDescent="0.3">
      <c r="D135" s="9"/>
      <c r="G135" s="9"/>
    </row>
    <row r="136" spans="4:7" ht="23.25" customHeight="1" x14ac:dyDescent="0.3">
      <c r="D136" s="9"/>
      <c r="G136" s="9"/>
    </row>
    <row r="137" spans="4:7" ht="23.25" customHeight="1" x14ac:dyDescent="0.3">
      <c r="D137" s="9"/>
      <c r="G137" s="9"/>
    </row>
    <row r="138" spans="4:7" ht="23.25" customHeight="1" x14ac:dyDescent="0.3">
      <c r="D138" s="9"/>
      <c r="G138" s="9"/>
    </row>
    <row r="139" spans="4:7" ht="23.25" customHeight="1" x14ac:dyDescent="0.3">
      <c r="D139" s="9"/>
      <c r="G139" s="9"/>
    </row>
    <row r="140" spans="4:7" ht="23.25" customHeight="1" x14ac:dyDescent="0.3">
      <c r="D140" s="9"/>
      <c r="G140" s="9"/>
    </row>
    <row r="141" spans="4:7" ht="23.25" customHeight="1" x14ac:dyDescent="0.3">
      <c r="D141" s="9"/>
      <c r="G141" s="9"/>
    </row>
    <row r="142" spans="4:7" ht="23.25" customHeight="1" x14ac:dyDescent="0.3">
      <c r="D142" s="9"/>
      <c r="G142" s="9"/>
    </row>
    <row r="143" spans="4:7" ht="23.25" customHeight="1" x14ac:dyDescent="0.3">
      <c r="D143" s="9"/>
      <c r="G143" s="9"/>
    </row>
    <row r="144" spans="4:7" ht="23.25" customHeight="1" x14ac:dyDescent="0.3">
      <c r="D144" s="9"/>
      <c r="G144" s="9"/>
    </row>
    <row r="145" spans="4:7" ht="23.25" customHeight="1" x14ac:dyDescent="0.3">
      <c r="D145" s="9"/>
      <c r="G145" s="9"/>
    </row>
    <row r="146" spans="4:7" ht="23.25" customHeight="1" x14ac:dyDescent="0.3">
      <c r="D146" s="9"/>
      <c r="G146" s="9"/>
    </row>
    <row r="147" spans="4:7" ht="23.25" customHeight="1" x14ac:dyDescent="0.3">
      <c r="D147" s="9"/>
      <c r="G147" s="9"/>
    </row>
    <row r="148" spans="4:7" ht="23.25" customHeight="1" x14ac:dyDescent="0.3">
      <c r="D148" s="9"/>
      <c r="G148" s="9"/>
    </row>
    <row r="149" spans="4:7" ht="23.25" customHeight="1" x14ac:dyDescent="0.3">
      <c r="D149" s="9"/>
      <c r="G149" s="9"/>
    </row>
    <row r="150" spans="4:7" ht="23.25" customHeight="1" x14ac:dyDescent="0.3">
      <c r="D150" s="9"/>
      <c r="G150" s="9"/>
    </row>
    <row r="151" spans="4:7" ht="23.25" customHeight="1" x14ac:dyDescent="0.3">
      <c r="D151" s="9"/>
      <c r="G151" s="9"/>
    </row>
    <row r="152" spans="4:7" ht="23.25" customHeight="1" x14ac:dyDescent="0.3">
      <c r="D152" s="9"/>
      <c r="G152" s="9"/>
    </row>
    <row r="153" spans="4:7" ht="23.25" customHeight="1" x14ac:dyDescent="0.3">
      <c r="D153" s="9"/>
      <c r="G153" s="9"/>
    </row>
    <row r="154" spans="4:7" ht="23.25" customHeight="1" x14ac:dyDescent="0.3">
      <c r="D154" s="9"/>
      <c r="G154" s="9"/>
    </row>
    <row r="155" spans="4:7" ht="23.25" customHeight="1" x14ac:dyDescent="0.3">
      <c r="D155" s="9"/>
      <c r="G155" s="9"/>
    </row>
    <row r="156" spans="4:7" ht="23.25" customHeight="1" x14ac:dyDescent="0.3">
      <c r="D156" s="9"/>
      <c r="G156" s="9"/>
    </row>
    <row r="157" spans="4:7" ht="23.25" customHeight="1" x14ac:dyDescent="0.3">
      <c r="D157" s="9"/>
      <c r="G157" s="9"/>
    </row>
    <row r="158" spans="4:7" ht="23.25" customHeight="1" x14ac:dyDescent="0.3">
      <c r="D158" s="9"/>
      <c r="G158" s="9"/>
    </row>
    <row r="159" spans="4:7" ht="23.25" customHeight="1" x14ac:dyDescent="0.3">
      <c r="D159" s="9"/>
      <c r="G159" s="9"/>
    </row>
    <row r="160" spans="4:7" ht="23.25" customHeight="1" x14ac:dyDescent="0.3">
      <c r="D160" s="9"/>
      <c r="G160" s="9"/>
    </row>
    <row r="161" spans="4:7" ht="23.25" customHeight="1" x14ac:dyDescent="0.3">
      <c r="D161" s="9"/>
      <c r="G161" s="9"/>
    </row>
    <row r="162" spans="4:7" ht="23.25" customHeight="1" x14ac:dyDescent="0.3">
      <c r="D162" s="9"/>
      <c r="G162" s="9"/>
    </row>
    <row r="163" spans="4:7" ht="23.25" customHeight="1" x14ac:dyDescent="0.3">
      <c r="D163" s="9"/>
      <c r="G163" s="9"/>
    </row>
    <row r="164" spans="4:7" ht="23.25" customHeight="1" x14ac:dyDescent="0.3">
      <c r="D164" s="9"/>
      <c r="G164" s="9"/>
    </row>
    <row r="165" spans="4:7" ht="23.25" customHeight="1" x14ac:dyDescent="0.3">
      <c r="D165" s="9"/>
      <c r="G165" s="9"/>
    </row>
    <row r="166" spans="4:7" ht="23.25" customHeight="1" x14ac:dyDescent="0.3">
      <c r="D166" s="9"/>
      <c r="G166" s="9"/>
    </row>
    <row r="167" spans="4:7" ht="23.25" customHeight="1" x14ac:dyDescent="0.3">
      <c r="D167" s="9"/>
      <c r="G167" s="9"/>
    </row>
    <row r="168" spans="4:7" ht="23.25" customHeight="1" x14ac:dyDescent="0.3">
      <c r="D168" s="9"/>
      <c r="G168" s="9"/>
    </row>
    <row r="169" spans="4:7" ht="23.25" customHeight="1" x14ac:dyDescent="0.3">
      <c r="D169" s="9"/>
      <c r="G169" s="9"/>
    </row>
    <row r="170" spans="4:7" ht="23.25" customHeight="1" x14ac:dyDescent="0.3">
      <c r="D170" s="9"/>
      <c r="G170" s="9"/>
    </row>
    <row r="171" spans="4:7" ht="23.25" customHeight="1" x14ac:dyDescent="0.3">
      <c r="D171" s="9"/>
      <c r="G171" s="9"/>
    </row>
    <row r="172" spans="4:7" ht="23.25" customHeight="1" x14ac:dyDescent="0.3">
      <c r="D172" s="9"/>
      <c r="G172" s="9"/>
    </row>
    <row r="173" spans="4:7" ht="23.25" customHeight="1" x14ac:dyDescent="0.3">
      <c r="D173" s="9"/>
      <c r="G173" s="9"/>
    </row>
    <row r="174" spans="4:7" ht="23.25" customHeight="1" x14ac:dyDescent="0.3">
      <c r="D174" s="9"/>
      <c r="G174" s="9"/>
    </row>
    <row r="175" spans="4:7" ht="23.25" customHeight="1" x14ac:dyDescent="0.3">
      <c r="D175" s="9"/>
      <c r="G175" s="9"/>
    </row>
    <row r="176" spans="4:7" ht="23.25" customHeight="1" x14ac:dyDescent="0.3">
      <c r="D176" s="9"/>
      <c r="G176" s="9"/>
    </row>
    <row r="177" spans="4:7" ht="23.25" customHeight="1" x14ac:dyDescent="0.3">
      <c r="D177" s="9"/>
      <c r="G177" s="9"/>
    </row>
    <row r="178" spans="4:7" ht="23.25" customHeight="1" x14ac:dyDescent="0.3">
      <c r="D178" s="9"/>
      <c r="G178" s="9"/>
    </row>
    <row r="179" spans="4:7" ht="23.25" customHeight="1" x14ac:dyDescent="0.3">
      <c r="D179" s="9"/>
      <c r="G179" s="9"/>
    </row>
    <row r="180" spans="4:7" ht="23.25" customHeight="1" x14ac:dyDescent="0.3">
      <c r="D180" s="9"/>
      <c r="G180" s="9"/>
    </row>
    <row r="181" spans="4:7" ht="23.25" customHeight="1" x14ac:dyDescent="0.3">
      <c r="D181" s="9"/>
      <c r="G181" s="9"/>
    </row>
    <row r="182" spans="4:7" ht="23.25" customHeight="1" x14ac:dyDescent="0.3">
      <c r="D182" s="9"/>
      <c r="G182" s="9"/>
    </row>
    <row r="183" spans="4:7" ht="23.25" customHeight="1" x14ac:dyDescent="0.3">
      <c r="D183" s="9"/>
      <c r="G183" s="9"/>
    </row>
    <row r="184" spans="4:7" ht="23.25" customHeight="1" x14ac:dyDescent="0.3">
      <c r="D184" s="9"/>
      <c r="G184" s="9"/>
    </row>
    <row r="185" spans="4:7" ht="23.25" customHeight="1" x14ac:dyDescent="0.3">
      <c r="D185" s="9"/>
      <c r="G185" s="9"/>
    </row>
    <row r="186" spans="4:7" ht="23.25" customHeight="1" x14ac:dyDescent="0.3">
      <c r="D186" s="9"/>
      <c r="G186" s="9"/>
    </row>
    <row r="187" spans="4:7" ht="23.25" customHeight="1" x14ac:dyDescent="0.3">
      <c r="D187" s="9"/>
      <c r="G187" s="9"/>
    </row>
    <row r="188" spans="4:7" ht="23.25" customHeight="1" x14ac:dyDescent="0.3">
      <c r="D188" s="9"/>
      <c r="G188" s="9"/>
    </row>
    <row r="189" spans="4:7" ht="23.25" customHeight="1" x14ac:dyDescent="0.3">
      <c r="D189" s="9"/>
      <c r="G189" s="9"/>
    </row>
    <row r="190" spans="4:7" ht="23.25" customHeight="1" x14ac:dyDescent="0.3">
      <c r="D190" s="9"/>
      <c r="G190" s="9"/>
    </row>
    <row r="191" spans="4:7" ht="23.25" customHeight="1" x14ac:dyDescent="0.3">
      <c r="D191" s="9"/>
      <c r="G191" s="9"/>
    </row>
    <row r="192" spans="4:7" ht="23.25" customHeight="1" x14ac:dyDescent="0.3">
      <c r="D192" s="9"/>
      <c r="G192" s="9"/>
    </row>
    <row r="193" spans="4:7" ht="23.25" customHeight="1" x14ac:dyDescent="0.3">
      <c r="D193" s="9"/>
      <c r="G193" s="9"/>
    </row>
    <row r="194" spans="4:7" ht="23.25" customHeight="1" x14ac:dyDescent="0.3">
      <c r="D194" s="9"/>
      <c r="G194" s="9"/>
    </row>
    <row r="195" spans="4:7" ht="23.25" customHeight="1" x14ac:dyDescent="0.3">
      <c r="D195" s="9"/>
      <c r="G195" s="9"/>
    </row>
    <row r="196" spans="4:7" ht="23.25" customHeight="1" x14ac:dyDescent="0.3">
      <c r="D196" s="9"/>
      <c r="G196" s="9"/>
    </row>
    <row r="197" spans="4:7" ht="23.25" customHeight="1" x14ac:dyDescent="0.3">
      <c r="D197" s="9"/>
      <c r="G197" s="9"/>
    </row>
    <row r="198" spans="4:7" ht="23.25" customHeight="1" x14ac:dyDescent="0.3">
      <c r="D198" s="9"/>
      <c r="G198" s="9"/>
    </row>
    <row r="199" spans="4:7" ht="23.25" customHeight="1" x14ac:dyDescent="0.3">
      <c r="D199" s="9"/>
      <c r="G199" s="9"/>
    </row>
    <row r="200" spans="4:7" ht="23.25" customHeight="1" x14ac:dyDescent="0.3">
      <c r="D200" s="9"/>
      <c r="G200" s="9"/>
    </row>
    <row r="201" spans="4:7" ht="23.25" customHeight="1" x14ac:dyDescent="0.3">
      <c r="D201" s="9"/>
      <c r="G201" s="9"/>
    </row>
    <row r="202" spans="4:7" ht="23.25" customHeight="1" x14ac:dyDescent="0.3">
      <c r="D202" s="9"/>
      <c r="G202" s="9"/>
    </row>
    <row r="203" spans="4:7" ht="23.25" customHeight="1" x14ac:dyDescent="0.3">
      <c r="D203" s="9"/>
      <c r="G203" s="9"/>
    </row>
    <row r="204" spans="4:7" ht="23.25" customHeight="1" x14ac:dyDescent="0.3">
      <c r="D204" s="9"/>
      <c r="G204" s="9"/>
    </row>
    <row r="205" spans="4:7" ht="23.25" customHeight="1" x14ac:dyDescent="0.3">
      <c r="D205" s="9"/>
      <c r="G205" s="9"/>
    </row>
    <row r="206" spans="4:7" ht="23.25" customHeight="1" x14ac:dyDescent="0.3">
      <c r="D206" s="9"/>
      <c r="G206" s="9"/>
    </row>
    <row r="207" spans="4:7" ht="23.25" customHeight="1" x14ac:dyDescent="0.3">
      <c r="D207" s="9"/>
      <c r="G207" s="9"/>
    </row>
    <row r="208" spans="4:7" ht="23.25" customHeight="1" x14ac:dyDescent="0.3">
      <c r="D208" s="9"/>
      <c r="G208" s="9"/>
    </row>
    <row r="209" spans="4:7" ht="23.25" customHeight="1" x14ac:dyDescent="0.3">
      <c r="D209" s="9"/>
      <c r="G209" s="9"/>
    </row>
    <row r="210" spans="4:7" ht="23.25" customHeight="1" x14ac:dyDescent="0.3">
      <c r="D210" s="9"/>
      <c r="G210" s="9"/>
    </row>
    <row r="211" spans="4:7" ht="23.25" customHeight="1" x14ac:dyDescent="0.3">
      <c r="D211" s="9"/>
      <c r="G211" s="9"/>
    </row>
    <row r="212" spans="4:7" ht="23.25" customHeight="1" x14ac:dyDescent="0.3">
      <c r="D212" s="9"/>
      <c r="G212" s="9"/>
    </row>
    <row r="213" spans="4:7" ht="23.25" customHeight="1" x14ac:dyDescent="0.3">
      <c r="D213" s="9"/>
      <c r="G213" s="9"/>
    </row>
    <row r="214" spans="4:7" ht="23.25" customHeight="1" x14ac:dyDescent="0.3">
      <c r="D214" s="9"/>
      <c r="G214" s="9"/>
    </row>
    <row r="215" spans="4:7" ht="23.25" customHeight="1" x14ac:dyDescent="0.3">
      <c r="D215" s="9"/>
      <c r="G215" s="9"/>
    </row>
    <row r="216" spans="4:7" ht="23.25" customHeight="1" x14ac:dyDescent="0.3">
      <c r="D216" s="9"/>
      <c r="G216" s="9"/>
    </row>
    <row r="217" spans="4:7" ht="23.25" customHeight="1" x14ac:dyDescent="0.3">
      <c r="D217" s="9"/>
      <c r="G217" s="9"/>
    </row>
    <row r="218" spans="4:7" ht="23.25" customHeight="1" x14ac:dyDescent="0.3">
      <c r="D218" s="9"/>
      <c r="G218" s="9"/>
    </row>
    <row r="219" spans="4:7" ht="23.25" customHeight="1" x14ac:dyDescent="0.3">
      <c r="D219" s="9"/>
      <c r="G219" s="9"/>
    </row>
    <row r="220" spans="4:7" ht="23.25" customHeight="1" x14ac:dyDescent="0.3">
      <c r="D220" s="9"/>
      <c r="G220" s="9"/>
    </row>
    <row r="221" spans="4:7" ht="23.25" customHeight="1" x14ac:dyDescent="0.3">
      <c r="D221" s="9"/>
      <c r="G221" s="9"/>
    </row>
    <row r="222" spans="4:7" ht="23.25" customHeight="1" x14ac:dyDescent="0.3">
      <c r="D222" s="9"/>
      <c r="G222" s="9"/>
    </row>
    <row r="223" spans="4:7" ht="23.25" customHeight="1" x14ac:dyDescent="0.3">
      <c r="D223" s="9"/>
      <c r="G223" s="9"/>
    </row>
    <row r="224" spans="4:7" ht="23.25" customHeight="1" x14ac:dyDescent="0.3">
      <c r="D224" s="9"/>
      <c r="G224" s="9"/>
    </row>
    <row r="225" spans="4:7" ht="23.25" customHeight="1" x14ac:dyDescent="0.3">
      <c r="D225" s="9"/>
      <c r="G225" s="9"/>
    </row>
    <row r="226" spans="4:7" ht="23.25" customHeight="1" x14ac:dyDescent="0.3">
      <c r="D226" s="9"/>
      <c r="G226" s="9"/>
    </row>
    <row r="227" spans="4:7" ht="23.25" customHeight="1" x14ac:dyDescent="0.3">
      <c r="D227" s="9"/>
      <c r="G227" s="9"/>
    </row>
    <row r="228" spans="4:7" ht="23.25" customHeight="1" x14ac:dyDescent="0.3">
      <c r="D228" s="9"/>
      <c r="G228" s="9"/>
    </row>
    <row r="229" spans="4:7" ht="23.25" customHeight="1" x14ac:dyDescent="0.3">
      <c r="D229" s="9"/>
      <c r="G229" s="9"/>
    </row>
    <row r="230" spans="4:7" ht="23.25" customHeight="1" x14ac:dyDescent="0.3">
      <c r="D230" s="9"/>
      <c r="G230" s="9"/>
    </row>
    <row r="231" spans="4:7" ht="23.25" customHeight="1" x14ac:dyDescent="0.3">
      <c r="D231" s="9"/>
      <c r="G231" s="9"/>
    </row>
    <row r="232" spans="4:7" ht="23.25" customHeight="1" x14ac:dyDescent="0.3">
      <c r="D232" s="9"/>
      <c r="G232" s="9"/>
    </row>
    <row r="233" spans="4:7" ht="23.25" customHeight="1" x14ac:dyDescent="0.3">
      <c r="D233" s="9"/>
      <c r="G233" s="9"/>
    </row>
    <row r="234" spans="4:7" ht="23.25" customHeight="1" x14ac:dyDescent="0.3">
      <c r="D234" s="9"/>
      <c r="G234" s="9"/>
    </row>
    <row r="235" spans="4:7" ht="23.25" customHeight="1" x14ac:dyDescent="0.3">
      <c r="D235" s="9"/>
      <c r="G235" s="9"/>
    </row>
    <row r="236" spans="4:7" ht="23.25" customHeight="1" x14ac:dyDescent="0.3">
      <c r="D236" s="9"/>
      <c r="G236" s="9"/>
    </row>
    <row r="237" spans="4:7" ht="23.25" customHeight="1" x14ac:dyDescent="0.3">
      <c r="D237" s="9"/>
      <c r="G237" s="9"/>
    </row>
    <row r="238" spans="4:7" ht="23.25" customHeight="1" x14ac:dyDescent="0.3">
      <c r="D238" s="9"/>
      <c r="G238" s="9"/>
    </row>
    <row r="239" spans="4:7" ht="23.25" customHeight="1" x14ac:dyDescent="0.3">
      <c r="D239" s="9"/>
      <c r="G239" s="9"/>
    </row>
    <row r="240" spans="4:7" ht="23.25" customHeight="1" x14ac:dyDescent="0.3">
      <c r="D240" s="9"/>
      <c r="G240" s="9"/>
    </row>
    <row r="241" spans="4:7" ht="23.25" customHeight="1" x14ac:dyDescent="0.3">
      <c r="D241" s="9"/>
      <c r="G241" s="9"/>
    </row>
    <row r="242" spans="4:7" ht="23.25" customHeight="1" x14ac:dyDescent="0.3">
      <c r="D242" s="9"/>
      <c r="G242" s="9"/>
    </row>
    <row r="243" spans="4:7" ht="23.25" customHeight="1" x14ac:dyDescent="0.3">
      <c r="D243" s="9"/>
      <c r="G243" s="9"/>
    </row>
    <row r="244" spans="4:7" ht="23.25" customHeight="1" x14ac:dyDescent="0.3">
      <c r="D244" s="9"/>
      <c r="G244" s="9"/>
    </row>
    <row r="245" spans="4:7" ht="23.25" customHeight="1" x14ac:dyDescent="0.3">
      <c r="D245" s="9"/>
      <c r="G245" s="9"/>
    </row>
    <row r="246" spans="4:7" ht="23.25" customHeight="1" x14ac:dyDescent="0.3">
      <c r="D246" s="9"/>
      <c r="G246" s="9"/>
    </row>
    <row r="247" spans="4:7" ht="23.25" customHeight="1" x14ac:dyDescent="0.3">
      <c r="D247" s="9"/>
      <c r="G247" s="9"/>
    </row>
    <row r="248" spans="4:7" ht="23.25" customHeight="1" x14ac:dyDescent="0.3">
      <c r="D248" s="9"/>
      <c r="G248" s="9"/>
    </row>
    <row r="249" spans="4:7" ht="23.25" customHeight="1" x14ac:dyDescent="0.3">
      <c r="D249" s="9"/>
      <c r="G249" s="9"/>
    </row>
    <row r="250" spans="4:7" ht="23.25" customHeight="1" x14ac:dyDescent="0.3">
      <c r="D250" s="9"/>
      <c r="G250" s="9"/>
    </row>
    <row r="251" spans="4:7" ht="23.25" customHeight="1" x14ac:dyDescent="0.3">
      <c r="D251" s="9"/>
      <c r="G251" s="9"/>
    </row>
    <row r="252" spans="4:7" ht="23.25" customHeight="1" x14ac:dyDescent="0.3">
      <c r="D252" s="9"/>
      <c r="G252" s="9"/>
    </row>
    <row r="253" spans="4:7" ht="23.25" customHeight="1" x14ac:dyDescent="0.3">
      <c r="D253" s="9"/>
      <c r="G253" s="9"/>
    </row>
    <row r="254" spans="4:7" ht="23.25" customHeight="1" x14ac:dyDescent="0.3">
      <c r="D254" s="9"/>
      <c r="G254" s="9"/>
    </row>
    <row r="255" spans="4:7" ht="23.25" customHeight="1" x14ac:dyDescent="0.3">
      <c r="D255" s="9"/>
      <c r="G255" s="9"/>
    </row>
    <row r="256" spans="4:7" ht="23.25" customHeight="1" x14ac:dyDescent="0.3">
      <c r="D256" s="9"/>
      <c r="G256" s="9"/>
    </row>
    <row r="257" spans="4:7" ht="23.25" customHeight="1" x14ac:dyDescent="0.3">
      <c r="D257" s="9"/>
      <c r="G257" s="9"/>
    </row>
    <row r="258" spans="4:7" ht="23.25" customHeight="1" x14ac:dyDescent="0.3">
      <c r="D258" s="9"/>
      <c r="G258" s="9"/>
    </row>
    <row r="259" spans="4:7" ht="23.25" customHeight="1" x14ac:dyDescent="0.3">
      <c r="D259" s="9"/>
      <c r="G259" s="9"/>
    </row>
    <row r="260" spans="4:7" ht="23.25" customHeight="1" x14ac:dyDescent="0.3">
      <c r="D260" s="9"/>
      <c r="G260" s="9"/>
    </row>
    <row r="261" spans="4:7" ht="23.25" customHeight="1" x14ac:dyDescent="0.3">
      <c r="D261" s="9"/>
      <c r="G261" s="9"/>
    </row>
    <row r="262" spans="4:7" ht="23.25" customHeight="1" x14ac:dyDescent="0.3">
      <c r="D262" s="9"/>
      <c r="G262" s="9"/>
    </row>
    <row r="263" spans="4:7" ht="23.25" customHeight="1" x14ac:dyDescent="0.3">
      <c r="D263" s="9"/>
      <c r="G263" s="9"/>
    </row>
    <row r="264" spans="4:7" ht="23.25" customHeight="1" x14ac:dyDescent="0.3">
      <c r="D264" s="9"/>
      <c r="G264" s="9"/>
    </row>
    <row r="265" spans="4:7" ht="23.25" customHeight="1" x14ac:dyDescent="0.3">
      <c r="D265" s="9"/>
      <c r="G265" s="9"/>
    </row>
    <row r="266" spans="4:7" ht="23.25" customHeight="1" x14ac:dyDescent="0.3">
      <c r="D266" s="9"/>
      <c r="G266" s="9"/>
    </row>
    <row r="267" spans="4:7" ht="23.25" customHeight="1" x14ac:dyDescent="0.3">
      <c r="D267" s="9"/>
      <c r="G267" s="9"/>
    </row>
    <row r="268" spans="4:7" ht="23.25" customHeight="1" x14ac:dyDescent="0.3">
      <c r="D268" s="9"/>
      <c r="G268" s="9"/>
    </row>
    <row r="269" spans="4:7" ht="23.25" customHeight="1" x14ac:dyDescent="0.3">
      <c r="D269" s="9"/>
      <c r="G269" s="9"/>
    </row>
    <row r="270" spans="4:7" ht="23.25" customHeight="1" x14ac:dyDescent="0.3">
      <c r="D270" s="9"/>
      <c r="G270" s="9"/>
    </row>
    <row r="271" spans="4:7" ht="23.25" customHeight="1" x14ac:dyDescent="0.3">
      <c r="D271" s="9"/>
      <c r="G271" s="9"/>
    </row>
    <row r="272" spans="4:7" ht="23.25" customHeight="1" x14ac:dyDescent="0.3">
      <c r="D272" s="9"/>
      <c r="G272" s="9"/>
    </row>
    <row r="273" spans="4:7" ht="23.25" customHeight="1" x14ac:dyDescent="0.3">
      <c r="D273" s="9"/>
      <c r="G273" s="9"/>
    </row>
    <row r="274" spans="4:7" ht="23.25" customHeight="1" x14ac:dyDescent="0.3">
      <c r="D274" s="9"/>
      <c r="G274" s="9"/>
    </row>
    <row r="275" spans="4:7" ht="23.25" customHeight="1" x14ac:dyDescent="0.3">
      <c r="D275" s="9"/>
      <c r="G275" s="9"/>
    </row>
    <row r="276" spans="4:7" ht="23.25" customHeight="1" x14ac:dyDescent="0.3">
      <c r="D276" s="9"/>
      <c r="G276" s="9"/>
    </row>
    <row r="277" spans="4:7" ht="23.25" customHeight="1" x14ac:dyDescent="0.3">
      <c r="D277" s="9"/>
      <c r="G277" s="9"/>
    </row>
    <row r="278" spans="4:7" ht="23.25" customHeight="1" x14ac:dyDescent="0.3">
      <c r="D278" s="9"/>
      <c r="G278" s="9"/>
    </row>
    <row r="279" spans="4:7" ht="23.25" customHeight="1" x14ac:dyDescent="0.3">
      <c r="D279" s="9"/>
      <c r="G279" s="9"/>
    </row>
    <row r="280" spans="4:7" ht="23.25" customHeight="1" x14ac:dyDescent="0.3">
      <c r="D280" s="9"/>
      <c r="G280" s="9"/>
    </row>
    <row r="281" spans="4:7" ht="23.25" customHeight="1" x14ac:dyDescent="0.3">
      <c r="D281" s="9"/>
      <c r="G281" s="9"/>
    </row>
    <row r="282" spans="4:7" ht="23.25" customHeight="1" x14ac:dyDescent="0.3">
      <c r="D282" s="9"/>
      <c r="G282" s="9"/>
    </row>
    <row r="283" spans="4:7" ht="23.25" customHeight="1" x14ac:dyDescent="0.3">
      <c r="D283" s="9"/>
      <c r="G283" s="9"/>
    </row>
    <row r="284" spans="4:7" ht="23.25" customHeight="1" x14ac:dyDescent="0.3">
      <c r="D284" s="9"/>
      <c r="G284" s="9"/>
    </row>
    <row r="285" spans="4:7" ht="23.25" customHeight="1" x14ac:dyDescent="0.3">
      <c r="D285" s="9"/>
      <c r="G285" s="9"/>
    </row>
    <row r="286" spans="4:7" ht="23.25" customHeight="1" x14ac:dyDescent="0.3">
      <c r="D286" s="9"/>
      <c r="G286" s="9"/>
    </row>
    <row r="287" spans="4:7" ht="23.25" customHeight="1" x14ac:dyDescent="0.3">
      <c r="D287" s="9"/>
      <c r="G287" s="9"/>
    </row>
    <row r="288" spans="4:7" ht="23.25" customHeight="1" x14ac:dyDescent="0.3">
      <c r="D288" s="9"/>
      <c r="G288" s="9"/>
    </row>
    <row r="289" spans="4:7" ht="23.25" customHeight="1" x14ac:dyDescent="0.3">
      <c r="D289" s="9"/>
      <c r="G289" s="9"/>
    </row>
    <row r="290" spans="4:7" ht="23.25" customHeight="1" x14ac:dyDescent="0.3">
      <c r="D290" s="9"/>
      <c r="G290" s="9"/>
    </row>
    <row r="291" spans="4:7" ht="23.25" customHeight="1" x14ac:dyDescent="0.3">
      <c r="D291" s="9"/>
      <c r="G291" s="9"/>
    </row>
    <row r="292" spans="4:7" ht="23.25" customHeight="1" x14ac:dyDescent="0.3">
      <c r="D292" s="9"/>
      <c r="G292" s="9"/>
    </row>
    <row r="293" spans="4:7" ht="23.25" customHeight="1" x14ac:dyDescent="0.3">
      <c r="D293" s="9"/>
      <c r="G293" s="9"/>
    </row>
    <row r="294" spans="4:7" ht="23.25" customHeight="1" x14ac:dyDescent="0.3">
      <c r="D294" s="9"/>
      <c r="G294" s="9"/>
    </row>
    <row r="295" spans="4:7" ht="23.25" customHeight="1" x14ac:dyDescent="0.3">
      <c r="D295" s="9"/>
      <c r="G295" s="9"/>
    </row>
    <row r="296" spans="4:7" ht="23.25" customHeight="1" x14ac:dyDescent="0.3">
      <c r="D296" s="9"/>
      <c r="G296" s="9"/>
    </row>
    <row r="297" spans="4:7" ht="23.25" customHeight="1" x14ac:dyDescent="0.3">
      <c r="D297" s="9"/>
      <c r="G297" s="9"/>
    </row>
    <row r="298" spans="4:7" ht="23.25" customHeight="1" x14ac:dyDescent="0.3">
      <c r="D298" s="9"/>
      <c r="G298" s="9"/>
    </row>
    <row r="299" spans="4:7" ht="23.25" customHeight="1" x14ac:dyDescent="0.3">
      <c r="D299" s="9"/>
      <c r="G299" s="9"/>
    </row>
    <row r="300" spans="4:7" ht="23.25" customHeight="1" x14ac:dyDescent="0.3">
      <c r="D300" s="9"/>
      <c r="G300" s="9"/>
    </row>
    <row r="301" spans="4:7" ht="23.25" customHeight="1" x14ac:dyDescent="0.3">
      <c r="D301" s="9"/>
      <c r="G301" s="9"/>
    </row>
    <row r="302" spans="4:7" ht="23.25" customHeight="1" x14ac:dyDescent="0.3">
      <c r="D302" s="9"/>
      <c r="G302" s="9"/>
    </row>
    <row r="303" spans="4:7" ht="23.25" customHeight="1" x14ac:dyDescent="0.3">
      <c r="D303" s="9"/>
      <c r="G303" s="9"/>
    </row>
    <row r="304" spans="4:7" ht="23.25" customHeight="1" x14ac:dyDescent="0.3">
      <c r="D304" s="9"/>
      <c r="G304" s="9"/>
    </row>
    <row r="305" spans="4:7" ht="23.25" customHeight="1" x14ac:dyDescent="0.3">
      <c r="D305" s="9"/>
      <c r="G305" s="9"/>
    </row>
    <row r="306" spans="4:7" ht="23.25" customHeight="1" x14ac:dyDescent="0.3">
      <c r="D306" s="9"/>
      <c r="G306" s="9"/>
    </row>
    <row r="307" spans="4:7" ht="23.25" customHeight="1" x14ac:dyDescent="0.3">
      <c r="D307" s="9"/>
      <c r="G307" s="9"/>
    </row>
    <row r="308" spans="4:7" ht="23.25" customHeight="1" x14ac:dyDescent="0.3">
      <c r="D308" s="9"/>
      <c r="G308" s="9"/>
    </row>
    <row r="309" spans="4:7" ht="23.25" customHeight="1" x14ac:dyDescent="0.3">
      <c r="D309" s="9"/>
      <c r="G309" s="9"/>
    </row>
    <row r="310" spans="4:7" ht="23.25" customHeight="1" x14ac:dyDescent="0.3">
      <c r="D310" s="9"/>
      <c r="G310" s="9"/>
    </row>
    <row r="311" spans="4:7" ht="23.25" customHeight="1" x14ac:dyDescent="0.3">
      <c r="D311" s="9"/>
      <c r="G311" s="9"/>
    </row>
    <row r="312" spans="4:7" ht="23.25" customHeight="1" x14ac:dyDescent="0.3">
      <c r="D312" s="9"/>
      <c r="G312" s="9"/>
    </row>
    <row r="313" spans="4:7" ht="23.25" customHeight="1" x14ac:dyDescent="0.3">
      <c r="D313" s="9"/>
      <c r="G313" s="9"/>
    </row>
    <row r="314" spans="4:7" ht="23.25" customHeight="1" x14ac:dyDescent="0.3">
      <c r="D314" s="9"/>
      <c r="G314" s="9"/>
    </row>
    <row r="315" spans="4:7" ht="23.25" customHeight="1" x14ac:dyDescent="0.3">
      <c r="D315" s="9"/>
      <c r="G315" s="9"/>
    </row>
    <row r="316" spans="4:7" ht="23.25" customHeight="1" x14ac:dyDescent="0.3">
      <c r="D316" s="9"/>
      <c r="G316" s="9"/>
    </row>
    <row r="317" spans="4:7" ht="23.25" customHeight="1" x14ac:dyDescent="0.3">
      <c r="D317" s="9"/>
      <c r="G317" s="9"/>
    </row>
    <row r="318" spans="4:7" ht="23.25" customHeight="1" x14ac:dyDescent="0.3">
      <c r="D318" s="9"/>
      <c r="G318" s="9"/>
    </row>
    <row r="319" spans="4:7" ht="23.25" customHeight="1" x14ac:dyDescent="0.3">
      <c r="D319" s="9"/>
      <c r="G319" s="9"/>
    </row>
    <row r="320" spans="4:7" ht="23.25" customHeight="1" x14ac:dyDescent="0.3">
      <c r="D320" s="9"/>
      <c r="G320" s="9"/>
    </row>
    <row r="321" spans="4:7" ht="23.25" customHeight="1" x14ac:dyDescent="0.3">
      <c r="D321" s="9"/>
      <c r="G321" s="9"/>
    </row>
    <row r="322" spans="4:7" ht="23.25" customHeight="1" x14ac:dyDescent="0.3">
      <c r="D322" s="9"/>
      <c r="G322" s="9"/>
    </row>
    <row r="323" spans="4:7" ht="23.25" customHeight="1" x14ac:dyDescent="0.3">
      <c r="D323" s="9"/>
      <c r="G323" s="9"/>
    </row>
    <row r="324" spans="4:7" ht="23.25" customHeight="1" x14ac:dyDescent="0.3">
      <c r="D324" s="9"/>
      <c r="G324" s="9"/>
    </row>
    <row r="325" spans="4:7" ht="23.25" customHeight="1" x14ac:dyDescent="0.3">
      <c r="D325" s="9"/>
      <c r="G325" s="9"/>
    </row>
    <row r="326" spans="4:7" ht="23.25" customHeight="1" x14ac:dyDescent="0.3">
      <c r="D326" s="9"/>
      <c r="G326" s="9"/>
    </row>
    <row r="327" spans="4:7" ht="23.25" customHeight="1" x14ac:dyDescent="0.3">
      <c r="D327" s="9"/>
      <c r="G327" s="9"/>
    </row>
    <row r="328" spans="4:7" ht="23.25" customHeight="1" x14ac:dyDescent="0.3">
      <c r="D328" s="9"/>
      <c r="G328" s="9"/>
    </row>
    <row r="329" spans="4:7" ht="23.25" customHeight="1" x14ac:dyDescent="0.3">
      <c r="D329" s="9"/>
      <c r="G329" s="9"/>
    </row>
    <row r="330" spans="4:7" ht="23.25" customHeight="1" x14ac:dyDescent="0.3">
      <c r="D330" s="9"/>
      <c r="G330" s="9"/>
    </row>
    <row r="331" spans="4:7" ht="23.25" customHeight="1" x14ac:dyDescent="0.3">
      <c r="D331" s="9"/>
      <c r="G331" s="9"/>
    </row>
    <row r="332" spans="4:7" ht="23.25" customHeight="1" x14ac:dyDescent="0.3">
      <c r="D332" s="9"/>
      <c r="G332" s="9"/>
    </row>
    <row r="333" spans="4:7" ht="23.25" customHeight="1" x14ac:dyDescent="0.3">
      <c r="D333" s="9"/>
      <c r="G333" s="9"/>
    </row>
    <row r="334" spans="4:7" ht="23.25" customHeight="1" x14ac:dyDescent="0.3">
      <c r="D334" s="9"/>
      <c r="G334" s="9"/>
    </row>
    <row r="335" spans="4:7" ht="23.25" customHeight="1" x14ac:dyDescent="0.3">
      <c r="D335" s="9"/>
      <c r="G335" s="9"/>
    </row>
    <row r="336" spans="4:7" ht="23.25" customHeight="1" x14ac:dyDescent="0.3">
      <c r="D336" s="9"/>
      <c r="G336" s="9"/>
    </row>
    <row r="337" spans="4:7" ht="23.25" customHeight="1" x14ac:dyDescent="0.3">
      <c r="D337" s="9"/>
      <c r="G337" s="9"/>
    </row>
    <row r="338" spans="4:7" ht="23.25" customHeight="1" x14ac:dyDescent="0.3">
      <c r="D338" s="9"/>
      <c r="G338" s="9"/>
    </row>
    <row r="339" spans="4:7" ht="23.25" customHeight="1" x14ac:dyDescent="0.3">
      <c r="D339" s="9"/>
      <c r="G339" s="9"/>
    </row>
    <row r="340" spans="4:7" ht="23.25" customHeight="1" x14ac:dyDescent="0.3">
      <c r="D340" s="9"/>
      <c r="G340" s="9"/>
    </row>
    <row r="341" spans="4:7" ht="23.25" customHeight="1" x14ac:dyDescent="0.3">
      <c r="D341" s="9"/>
      <c r="G341" s="9"/>
    </row>
    <row r="342" spans="4:7" ht="23.25" customHeight="1" x14ac:dyDescent="0.3">
      <c r="D342" s="9"/>
      <c r="G342" s="9"/>
    </row>
    <row r="343" spans="4:7" ht="23.25" customHeight="1" x14ac:dyDescent="0.3">
      <c r="D343" s="9"/>
      <c r="G343" s="9"/>
    </row>
    <row r="344" spans="4:7" ht="23.25" customHeight="1" x14ac:dyDescent="0.3">
      <c r="D344" s="9"/>
      <c r="G344" s="9"/>
    </row>
    <row r="345" spans="4:7" ht="23.25" customHeight="1" x14ac:dyDescent="0.3">
      <c r="D345" s="9"/>
      <c r="G345" s="9"/>
    </row>
    <row r="346" spans="4:7" ht="23.25" customHeight="1" x14ac:dyDescent="0.3">
      <c r="D346" s="9"/>
      <c r="G346" s="9"/>
    </row>
    <row r="347" spans="4:7" ht="23.25" customHeight="1" x14ac:dyDescent="0.3">
      <c r="D347" s="9"/>
      <c r="G347" s="9"/>
    </row>
    <row r="348" spans="4:7" ht="23.25" customHeight="1" x14ac:dyDescent="0.3">
      <c r="D348" s="9"/>
      <c r="G348" s="9"/>
    </row>
    <row r="349" spans="4:7" ht="23.25" customHeight="1" x14ac:dyDescent="0.3">
      <c r="D349" s="9"/>
      <c r="G349" s="9"/>
    </row>
    <row r="350" spans="4:7" ht="23.25" customHeight="1" x14ac:dyDescent="0.3">
      <c r="D350" s="9"/>
      <c r="G350" s="9"/>
    </row>
    <row r="351" spans="4:7" ht="23.25" customHeight="1" x14ac:dyDescent="0.3">
      <c r="D351" s="9"/>
      <c r="G351" s="9"/>
    </row>
    <row r="352" spans="4:7" ht="23.25" customHeight="1" x14ac:dyDescent="0.3">
      <c r="D352" s="9"/>
      <c r="G352" s="9"/>
    </row>
    <row r="353" spans="4:7" ht="23.25" customHeight="1" x14ac:dyDescent="0.3">
      <c r="D353" s="9"/>
      <c r="G353" s="9"/>
    </row>
    <row r="354" spans="4:7" ht="23.25" customHeight="1" x14ac:dyDescent="0.3">
      <c r="D354" s="9"/>
      <c r="G354" s="9"/>
    </row>
    <row r="355" spans="4:7" ht="23.25" customHeight="1" x14ac:dyDescent="0.3">
      <c r="D355" s="9"/>
      <c r="G355" s="9"/>
    </row>
    <row r="356" spans="4:7" ht="23.25" customHeight="1" x14ac:dyDescent="0.3">
      <c r="D356" s="9"/>
      <c r="G356" s="9"/>
    </row>
    <row r="357" spans="4:7" ht="23.25" customHeight="1" x14ac:dyDescent="0.3">
      <c r="D357" s="9"/>
      <c r="G357" s="9"/>
    </row>
    <row r="358" spans="4:7" ht="23.25" customHeight="1" x14ac:dyDescent="0.3">
      <c r="D358" s="9"/>
      <c r="G358" s="9"/>
    </row>
    <row r="359" spans="4:7" ht="23.25" customHeight="1" x14ac:dyDescent="0.3">
      <c r="D359" s="9"/>
      <c r="G359" s="9"/>
    </row>
    <row r="360" spans="4:7" ht="23.25" customHeight="1" x14ac:dyDescent="0.3">
      <c r="D360" s="9"/>
      <c r="G360" s="9"/>
    </row>
    <row r="361" spans="4:7" ht="23.25" customHeight="1" x14ac:dyDescent="0.3">
      <c r="D361" s="9"/>
      <c r="G361" s="9"/>
    </row>
    <row r="362" spans="4:7" ht="23.25" customHeight="1" x14ac:dyDescent="0.3">
      <c r="D362" s="9"/>
      <c r="G362" s="9"/>
    </row>
    <row r="363" spans="4:7" ht="23.25" customHeight="1" x14ac:dyDescent="0.3">
      <c r="D363" s="9"/>
      <c r="G363" s="9"/>
    </row>
    <row r="364" spans="4:7" ht="23.25" customHeight="1" x14ac:dyDescent="0.3">
      <c r="D364" s="9"/>
      <c r="G364" s="9"/>
    </row>
    <row r="365" spans="4:7" ht="23.25" customHeight="1" x14ac:dyDescent="0.3">
      <c r="D365" s="9"/>
      <c r="G365" s="9"/>
    </row>
    <row r="366" spans="4:7" ht="23.25" customHeight="1" x14ac:dyDescent="0.3">
      <c r="D366" s="9"/>
      <c r="G366" s="9"/>
    </row>
    <row r="367" spans="4:7" ht="23.25" customHeight="1" x14ac:dyDescent="0.3">
      <c r="D367" s="9"/>
      <c r="G367" s="9"/>
    </row>
    <row r="368" spans="4:7" ht="23.25" customHeight="1" x14ac:dyDescent="0.3">
      <c r="D368" s="9"/>
      <c r="G368" s="9"/>
    </row>
    <row r="369" spans="4:7" ht="23.25" customHeight="1" x14ac:dyDescent="0.3">
      <c r="D369" s="9"/>
      <c r="G369" s="9"/>
    </row>
    <row r="370" spans="4:7" ht="23.25" customHeight="1" x14ac:dyDescent="0.3">
      <c r="D370" s="9"/>
      <c r="G370" s="9"/>
    </row>
    <row r="371" spans="4:7" ht="23.25" customHeight="1" x14ac:dyDescent="0.3">
      <c r="D371" s="9"/>
      <c r="G371" s="9"/>
    </row>
    <row r="372" spans="4:7" ht="23.25" customHeight="1" x14ac:dyDescent="0.3">
      <c r="D372" s="9"/>
      <c r="G372" s="9"/>
    </row>
    <row r="373" spans="4:7" ht="23.25" customHeight="1" x14ac:dyDescent="0.3">
      <c r="D373" s="9"/>
      <c r="G373" s="9"/>
    </row>
    <row r="374" spans="4:7" ht="23.25" customHeight="1" x14ac:dyDescent="0.3">
      <c r="D374" s="9"/>
      <c r="G374" s="9"/>
    </row>
    <row r="375" spans="4:7" ht="23.25" customHeight="1" x14ac:dyDescent="0.3">
      <c r="D375" s="9"/>
      <c r="G375" s="9"/>
    </row>
    <row r="376" spans="4:7" ht="23.25" customHeight="1" x14ac:dyDescent="0.3">
      <c r="D376" s="9"/>
      <c r="G376" s="9"/>
    </row>
    <row r="377" spans="4:7" ht="23.25" customHeight="1" x14ac:dyDescent="0.3">
      <c r="D377" s="9"/>
      <c r="G377" s="9"/>
    </row>
    <row r="378" spans="4:7" ht="23.25" customHeight="1" x14ac:dyDescent="0.3">
      <c r="D378" s="9"/>
      <c r="G378" s="9"/>
    </row>
    <row r="379" spans="4:7" ht="23.25" customHeight="1" x14ac:dyDescent="0.3">
      <c r="D379" s="9"/>
      <c r="G379" s="9"/>
    </row>
    <row r="380" spans="4:7" ht="23.25" customHeight="1" x14ac:dyDescent="0.3">
      <c r="D380" s="9"/>
      <c r="G380" s="9"/>
    </row>
    <row r="381" spans="4:7" ht="23.25" customHeight="1" x14ac:dyDescent="0.3">
      <c r="D381" s="9"/>
      <c r="G381" s="9"/>
    </row>
    <row r="382" spans="4:7" ht="23.25" customHeight="1" x14ac:dyDescent="0.3">
      <c r="D382" s="9"/>
      <c r="G382" s="9"/>
    </row>
    <row r="383" spans="4:7" ht="23.25" customHeight="1" x14ac:dyDescent="0.3">
      <c r="D383" s="9"/>
      <c r="G383" s="9"/>
    </row>
    <row r="384" spans="4:7" ht="23.25" customHeight="1" x14ac:dyDescent="0.3">
      <c r="D384" s="9"/>
      <c r="G384" s="9"/>
    </row>
    <row r="385" spans="4:7" ht="23.25" customHeight="1" x14ac:dyDescent="0.3">
      <c r="D385" s="9"/>
      <c r="G385" s="9"/>
    </row>
    <row r="386" spans="4:7" ht="23.25" customHeight="1" x14ac:dyDescent="0.3">
      <c r="D386" s="9"/>
      <c r="G386" s="9"/>
    </row>
    <row r="387" spans="4:7" ht="23.25" customHeight="1" x14ac:dyDescent="0.3">
      <c r="D387" s="9"/>
      <c r="G387" s="9"/>
    </row>
    <row r="388" spans="4:7" ht="23.25" customHeight="1" x14ac:dyDescent="0.3">
      <c r="D388" s="9"/>
      <c r="G388" s="9"/>
    </row>
    <row r="389" spans="4:7" ht="23.25" customHeight="1" x14ac:dyDescent="0.3">
      <c r="D389" s="9"/>
      <c r="G389" s="9"/>
    </row>
    <row r="390" spans="4:7" ht="23.25" customHeight="1" x14ac:dyDescent="0.3">
      <c r="D390" s="9"/>
      <c r="G390" s="9"/>
    </row>
    <row r="391" spans="4:7" ht="23.25" customHeight="1" x14ac:dyDescent="0.3">
      <c r="D391" s="9"/>
      <c r="G391" s="9"/>
    </row>
    <row r="392" spans="4:7" ht="23.25" customHeight="1" x14ac:dyDescent="0.3">
      <c r="D392" s="9"/>
      <c r="G392" s="9"/>
    </row>
    <row r="393" spans="4:7" ht="23.25" customHeight="1" x14ac:dyDescent="0.3">
      <c r="D393" s="9"/>
      <c r="G393" s="9"/>
    </row>
    <row r="394" spans="4:7" ht="23.25" customHeight="1" x14ac:dyDescent="0.3">
      <c r="D394" s="9"/>
      <c r="G394" s="9"/>
    </row>
    <row r="395" spans="4:7" ht="23.25" customHeight="1" x14ac:dyDescent="0.3">
      <c r="D395" s="9"/>
      <c r="G395" s="9"/>
    </row>
    <row r="396" spans="4:7" ht="23.25" customHeight="1" x14ac:dyDescent="0.3">
      <c r="D396" s="9"/>
      <c r="G396" s="9"/>
    </row>
    <row r="397" spans="4:7" ht="23.25" customHeight="1" x14ac:dyDescent="0.3">
      <c r="D397" s="9"/>
      <c r="G397" s="9"/>
    </row>
    <row r="398" spans="4:7" ht="23.25" customHeight="1" x14ac:dyDescent="0.3">
      <c r="D398" s="9"/>
      <c r="G398" s="9"/>
    </row>
    <row r="399" spans="4:7" ht="23.25" customHeight="1" x14ac:dyDescent="0.3">
      <c r="D399" s="9"/>
      <c r="G399" s="9"/>
    </row>
    <row r="400" spans="4:7" ht="23.25" customHeight="1" x14ac:dyDescent="0.3">
      <c r="D400" s="9"/>
      <c r="G400" s="9"/>
    </row>
    <row r="401" spans="4:7" ht="23.25" customHeight="1" x14ac:dyDescent="0.3">
      <c r="D401" s="9"/>
      <c r="G401" s="9"/>
    </row>
    <row r="402" spans="4:7" ht="23.25" customHeight="1" x14ac:dyDescent="0.3">
      <c r="D402" s="9"/>
      <c r="G402" s="9"/>
    </row>
    <row r="403" spans="4:7" ht="23.25" customHeight="1" x14ac:dyDescent="0.3">
      <c r="D403" s="9"/>
      <c r="G403" s="9"/>
    </row>
    <row r="404" spans="4:7" ht="23.25" customHeight="1" x14ac:dyDescent="0.3">
      <c r="D404" s="9"/>
      <c r="G404" s="9"/>
    </row>
    <row r="405" spans="4:7" ht="23.25" customHeight="1" x14ac:dyDescent="0.3">
      <c r="D405" s="9"/>
      <c r="G405" s="9"/>
    </row>
    <row r="406" spans="4:7" ht="23.25" customHeight="1" x14ac:dyDescent="0.3">
      <c r="D406" s="9"/>
      <c r="G406" s="9"/>
    </row>
    <row r="407" spans="4:7" ht="23.25" customHeight="1" x14ac:dyDescent="0.3">
      <c r="D407" s="9"/>
      <c r="G407" s="9"/>
    </row>
    <row r="408" spans="4:7" ht="23.25" customHeight="1" x14ac:dyDescent="0.3">
      <c r="D408" s="9"/>
      <c r="G408" s="9"/>
    </row>
    <row r="409" spans="4:7" ht="23.25" customHeight="1" x14ac:dyDescent="0.3">
      <c r="D409" s="9"/>
      <c r="G409" s="9"/>
    </row>
    <row r="410" spans="4:7" ht="23.25" customHeight="1" x14ac:dyDescent="0.3">
      <c r="D410" s="9"/>
      <c r="G410" s="9"/>
    </row>
    <row r="411" spans="4:7" ht="23.25" customHeight="1" x14ac:dyDescent="0.3">
      <c r="D411" s="9"/>
      <c r="G411" s="9"/>
    </row>
    <row r="412" spans="4:7" ht="23.25" customHeight="1" x14ac:dyDescent="0.3">
      <c r="D412" s="9"/>
      <c r="G412" s="9"/>
    </row>
    <row r="413" spans="4:7" ht="23.25" customHeight="1" x14ac:dyDescent="0.3">
      <c r="D413" s="9"/>
      <c r="G413" s="9"/>
    </row>
    <row r="414" spans="4:7" ht="23.25" customHeight="1" x14ac:dyDescent="0.3">
      <c r="D414" s="9"/>
      <c r="G414" s="9"/>
    </row>
    <row r="415" spans="4:7" ht="23.25" customHeight="1" x14ac:dyDescent="0.3">
      <c r="D415" s="9"/>
      <c r="G415" s="9"/>
    </row>
    <row r="416" spans="4:7" ht="23.25" customHeight="1" x14ac:dyDescent="0.3">
      <c r="D416" s="9"/>
      <c r="G416" s="9"/>
    </row>
    <row r="417" spans="4:7" ht="23.25" customHeight="1" x14ac:dyDescent="0.3">
      <c r="D417" s="9"/>
      <c r="G417" s="9"/>
    </row>
    <row r="418" spans="4:7" ht="23.25" customHeight="1" x14ac:dyDescent="0.3">
      <c r="D418" s="9"/>
      <c r="G418" s="9"/>
    </row>
    <row r="419" spans="4:7" ht="23.25" customHeight="1" x14ac:dyDescent="0.3">
      <c r="D419" s="9"/>
      <c r="G419" s="9"/>
    </row>
    <row r="420" spans="4:7" ht="23.25" customHeight="1" x14ac:dyDescent="0.3">
      <c r="D420" s="9"/>
      <c r="G420" s="9"/>
    </row>
    <row r="421" spans="4:7" ht="23.25" customHeight="1" x14ac:dyDescent="0.3">
      <c r="D421" s="9"/>
      <c r="G421" s="9"/>
    </row>
    <row r="422" spans="4:7" ht="23.25" customHeight="1" x14ac:dyDescent="0.3">
      <c r="D422" s="9"/>
      <c r="G422" s="9"/>
    </row>
    <row r="423" spans="4:7" ht="23.25" customHeight="1" x14ac:dyDescent="0.3">
      <c r="D423" s="9"/>
      <c r="G423" s="9"/>
    </row>
    <row r="424" spans="4:7" ht="23.25" customHeight="1" x14ac:dyDescent="0.3">
      <c r="D424" s="9"/>
      <c r="G424" s="9"/>
    </row>
    <row r="425" spans="4:7" ht="23.25" customHeight="1" x14ac:dyDescent="0.3">
      <c r="D425" s="9"/>
      <c r="G425" s="9"/>
    </row>
    <row r="426" spans="4:7" ht="23.25" customHeight="1" x14ac:dyDescent="0.3">
      <c r="D426" s="9"/>
      <c r="G426" s="9"/>
    </row>
    <row r="427" spans="4:7" ht="23.25" customHeight="1" x14ac:dyDescent="0.3">
      <c r="D427" s="9"/>
      <c r="G427" s="9"/>
    </row>
    <row r="428" spans="4:7" ht="23.25" customHeight="1" x14ac:dyDescent="0.3">
      <c r="D428" s="9"/>
      <c r="G428" s="9"/>
    </row>
    <row r="429" spans="4:7" ht="23.25" customHeight="1" x14ac:dyDescent="0.3">
      <c r="D429" s="9"/>
      <c r="G429" s="9"/>
    </row>
    <row r="430" spans="4:7" ht="23.25" customHeight="1" x14ac:dyDescent="0.3">
      <c r="D430" s="9"/>
      <c r="G430" s="9"/>
    </row>
    <row r="431" spans="4:7" ht="23.25" customHeight="1" x14ac:dyDescent="0.3">
      <c r="D431" s="9"/>
      <c r="G431" s="9"/>
    </row>
    <row r="432" spans="4:7" ht="23.25" customHeight="1" x14ac:dyDescent="0.3">
      <c r="D432" s="9"/>
      <c r="G432" s="9"/>
    </row>
    <row r="433" spans="4:7" ht="23.25" customHeight="1" x14ac:dyDescent="0.3">
      <c r="D433" s="9"/>
      <c r="G433" s="9"/>
    </row>
    <row r="434" spans="4:7" ht="23.25" customHeight="1" x14ac:dyDescent="0.3">
      <c r="D434" s="9"/>
      <c r="G434" s="9"/>
    </row>
    <row r="435" spans="4:7" ht="23.25" customHeight="1" x14ac:dyDescent="0.3">
      <c r="D435" s="9"/>
      <c r="G435" s="9"/>
    </row>
    <row r="436" spans="4:7" ht="23.25" customHeight="1" x14ac:dyDescent="0.3">
      <c r="D436" s="9"/>
      <c r="G436" s="9"/>
    </row>
    <row r="437" spans="4:7" ht="23.25" customHeight="1" x14ac:dyDescent="0.3">
      <c r="D437" s="9"/>
      <c r="G437" s="9"/>
    </row>
    <row r="438" spans="4:7" ht="23.25" customHeight="1" x14ac:dyDescent="0.3">
      <c r="D438" s="9"/>
      <c r="G438" s="9"/>
    </row>
    <row r="439" spans="4:7" ht="23.25" customHeight="1" x14ac:dyDescent="0.3">
      <c r="D439" s="9"/>
      <c r="G439" s="9"/>
    </row>
    <row r="440" spans="4:7" ht="23.25" customHeight="1" x14ac:dyDescent="0.3">
      <c r="D440" s="9"/>
      <c r="G440" s="9"/>
    </row>
    <row r="441" spans="4:7" ht="23.25" customHeight="1" x14ac:dyDescent="0.3">
      <c r="D441" s="9"/>
      <c r="G441" s="9"/>
    </row>
    <row r="442" spans="4:7" ht="23.25" customHeight="1" x14ac:dyDescent="0.3">
      <c r="D442" s="9"/>
      <c r="G442" s="9"/>
    </row>
    <row r="443" spans="4:7" ht="23.25" customHeight="1" x14ac:dyDescent="0.3">
      <c r="D443" s="9"/>
      <c r="G443" s="9"/>
    </row>
    <row r="444" spans="4:7" ht="23.25" customHeight="1" x14ac:dyDescent="0.3">
      <c r="D444" s="9"/>
      <c r="G444" s="9"/>
    </row>
    <row r="445" spans="4:7" ht="23.25" customHeight="1" x14ac:dyDescent="0.3">
      <c r="D445" s="9"/>
      <c r="G445" s="9"/>
    </row>
    <row r="446" spans="4:7" ht="23.25" customHeight="1" x14ac:dyDescent="0.3">
      <c r="D446" s="9"/>
      <c r="G446" s="9"/>
    </row>
    <row r="447" spans="4:7" ht="23.25" customHeight="1" x14ac:dyDescent="0.3">
      <c r="D447" s="9"/>
      <c r="G447" s="9"/>
    </row>
    <row r="448" spans="4:7" ht="23.25" customHeight="1" x14ac:dyDescent="0.3">
      <c r="D448" s="9"/>
      <c r="G448" s="9"/>
    </row>
    <row r="449" spans="4:7" ht="23.25" customHeight="1" x14ac:dyDescent="0.3">
      <c r="D449" s="9"/>
      <c r="G449" s="9"/>
    </row>
    <row r="450" spans="4:7" ht="23.25" customHeight="1" x14ac:dyDescent="0.3">
      <c r="D450" s="9"/>
      <c r="G450" s="9"/>
    </row>
    <row r="451" spans="4:7" ht="23.25" customHeight="1" x14ac:dyDescent="0.3">
      <c r="D451" s="9"/>
      <c r="G451" s="9"/>
    </row>
    <row r="452" spans="4:7" ht="23.25" customHeight="1" x14ac:dyDescent="0.3">
      <c r="D452" s="9"/>
      <c r="G452" s="9"/>
    </row>
    <row r="453" spans="4:7" ht="23.25" customHeight="1" x14ac:dyDescent="0.3">
      <c r="D453" s="9"/>
      <c r="G453" s="9"/>
    </row>
    <row r="454" spans="4:7" ht="23.25" customHeight="1" x14ac:dyDescent="0.3">
      <c r="D454" s="9"/>
      <c r="G454" s="9"/>
    </row>
    <row r="455" spans="4:7" ht="23.25" customHeight="1" x14ac:dyDescent="0.3">
      <c r="D455" s="9"/>
      <c r="G455" s="9"/>
    </row>
    <row r="456" spans="4:7" ht="23.25" customHeight="1" x14ac:dyDescent="0.3">
      <c r="D456" s="9"/>
      <c r="G456" s="9"/>
    </row>
    <row r="457" spans="4:7" ht="23.25" customHeight="1" x14ac:dyDescent="0.3">
      <c r="D457" s="9"/>
      <c r="G457" s="9"/>
    </row>
    <row r="458" spans="4:7" ht="23.25" customHeight="1" x14ac:dyDescent="0.3">
      <c r="D458" s="9"/>
      <c r="G458" s="9"/>
    </row>
    <row r="459" spans="4:7" ht="23.25" customHeight="1" x14ac:dyDescent="0.3">
      <c r="D459" s="9"/>
      <c r="G459" s="9"/>
    </row>
    <row r="460" spans="4:7" ht="23.25" customHeight="1" x14ac:dyDescent="0.3">
      <c r="D460" s="9"/>
      <c r="G460" s="9"/>
    </row>
    <row r="461" spans="4:7" ht="23.25" customHeight="1" x14ac:dyDescent="0.3">
      <c r="D461" s="9"/>
      <c r="G461" s="9"/>
    </row>
    <row r="462" spans="4:7" ht="23.25" customHeight="1" x14ac:dyDescent="0.3">
      <c r="D462" s="9"/>
      <c r="G462" s="9"/>
    </row>
    <row r="463" spans="4:7" ht="23.25" customHeight="1" x14ac:dyDescent="0.3">
      <c r="D463" s="9"/>
      <c r="G463" s="9"/>
    </row>
    <row r="464" spans="4:7" ht="23.25" customHeight="1" x14ac:dyDescent="0.3">
      <c r="D464" s="9"/>
      <c r="G464" s="9"/>
    </row>
    <row r="465" spans="4:7" ht="23.25" customHeight="1" x14ac:dyDescent="0.3">
      <c r="D465" s="9"/>
      <c r="G465" s="9"/>
    </row>
    <row r="466" spans="4:7" ht="23.25" customHeight="1" x14ac:dyDescent="0.3">
      <c r="D466" s="9"/>
      <c r="G466" s="9"/>
    </row>
    <row r="467" spans="4:7" ht="23.25" customHeight="1" x14ac:dyDescent="0.3">
      <c r="D467" s="9"/>
      <c r="G467" s="9"/>
    </row>
    <row r="468" spans="4:7" ht="23.25" customHeight="1" x14ac:dyDescent="0.3">
      <c r="D468" s="9"/>
      <c r="G468" s="9"/>
    </row>
    <row r="469" spans="4:7" ht="23.25" customHeight="1" x14ac:dyDescent="0.3">
      <c r="D469" s="9"/>
      <c r="G469" s="9"/>
    </row>
    <row r="470" spans="4:7" ht="23.25" customHeight="1" x14ac:dyDescent="0.3">
      <c r="D470" s="9"/>
      <c r="G470" s="9"/>
    </row>
    <row r="471" spans="4:7" ht="23.25" customHeight="1" x14ac:dyDescent="0.3">
      <c r="D471" s="9"/>
      <c r="G471" s="9"/>
    </row>
    <row r="472" spans="4:7" ht="23.25" customHeight="1" x14ac:dyDescent="0.3">
      <c r="D472" s="9"/>
      <c r="G472" s="9"/>
    </row>
    <row r="473" spans="4:7" ht="23.25" customHeight="1" x14ac:dyDescent="0.3">
      <c r="D473" s="9"/>
      <c r="G473" s="9"/>
    </row>
    <row r="474" spans="4:7" ht="23.25" customHeight="1" x14ac:dyDescent="0.3">
      <c r="D474" s="9"/>
      <c r="G474" s="9"/>
    </row>
    <row r="475" spans="4:7" ht="23.25" customHeight="1" x14ac:dyDescent="0.3">
      <c r="D475" s="9"/>
      <c r="G475" s="9"/>
    </row>
    <row r="476" spans="4:7" ht="23.25" customHeight="1" x14ac:dyDescent="0.3">
      <c r="D476" s="9"/>
      <c r="G476" s="9"/>
    </row>
    <row r="477" spans="4:7" ht="23.25" customHeight="1" x14ac:dyDescent="0.3">
      <c r="D477" s="9"/>
      <c r="G477" s="9"/>
    </row>
    <row r="478" spans="4:7" ht="23.25" customHeight="1" x14ac:dyDescent="0.3">
      <c r="D478" s="9"/>
      <c r="G478" s="9"/>
    </row>
    <row r="479" spans="4:7" ht="23.25" customHeight="1" x14ac:dyDescent="0.3">
      <c r="D479" s="9"/>
      <c r="G479" s="9"/>
    </row>
    <row r="480" spans="4:7" ht="23.25" customHeight="1" x14ac:dyDescent="0.3">
      <c r="D480" s="9"/>
      <c r="G480" s="9"/>
    </row>
    <row r="481" spans="4:7" ht="23.25" customHeight="1" x14ac:dyDescent="0.3">
      <c r="D481" s="9"/>
      <c r="G481" s="9"/>
    </row>
    <row r="482" spans="4:7" ht="23.25" customHeight="1" x14ac:dyDescent="0.3">
      <c r="D482" s="9"/>
      <c r="G482" s="9"/>
    </row>
    <row r="483" spans="4:7" ht="23.25" customHeight="1" x14ac:dyDescent="0.3">
      <c r="D483" s="9"/>
      <c r="G483" s="9"/>
    </row>
    <row r="484" spans="4:7" ht="23.25" customHeight="1" x14ac:dyDescent="0.3">
      <c r="D484" s="9"/>
      <c r="G484" s="9"/>
    </row>
    <row r="485" spans="4:7" ht="23.25" customHeight="1" x14ac:dyDescent="0.3">
      <c r="D485" s="9"/>
      <c r="G485" s="9"/>
    </row>
    <row r="486" spans="4:7" ht="23.25" customHeight="1" x14ac:dyDescent="0.3">
      <c r="D486" s="9"/>
      <c r="G486" s="9"/>
    </row>
    <row r="487" spans="4:7" ht="23.25" customHeight="1" x14ac:dyDescent="0.3">
      <c r="D487" s="9"/>
      <c r="G487" s="9"/>
    </row>
    <row r="488" spans="4:7" ht="23.25" customHeight="1" x14ac:dyDescent="0.3">
      <c r="D488" s="9"/>
      <c r="G488" s="9"/>
    </row>
    <row r="489" spans="4:7" ht="23.25" customHeight="1" x14ac:dyDescent="0.3">
      <c r="D489" s="9"/>
      <c r="G489" s="9"/>
    </row>
    <row r="490" spans="4:7" ht="23.25" customHeight="1" x14ac:dyDescent="0.3">
      <c r="D490" s="9"/>
      <c r="G490" s="9"/>
    </row>
    <row r="491" spans="4:7" ht="23.25" customHeight="1" x14ac:dyDescent="0.3">
      <c r="D491" s="9"/>
      <c r="G491" s="9"/>
    </row>
    <row r="492" spans="4:7" ht="23.25" customHeight="1" x14ac:dyDescent="0.3">
      <c r="D492" s="9"/>
      <c r="G492" s="9"/>
    </row>
    <row r="493" spans="4:7" ht="23.25" customHeight="1" x14ac:dyDescent="0.3">
      <c r="D493" s="9"/>
      <c r="G493" s="9"/>
    </row>
    <row r="494" spans="4:7" ht="23.25" customHeight="1" x14ac:dyDescent="0.3">
      <c r="D494" s="9"/>
      <c r="G494" s="9"/>
    </row>
    <row r="495" spans="4:7" ht="23.25" customHeight="1" x14ac:dyDescent="0.3">
      <c r="D495" s="9"/>
      <c r="G495" s="9"/>
    </row>
    <row r="496" spans="4:7" ht="23.25" customHeight="1" x14ac:dyDescent="0.3">
      <c r="D496" s="9"/>
      <c r="G496" s="9"/>
    </row>
    <row r="497" spans="4:7" ht="23.25" customHeight="1" x14ac:dyDescent="0.3">
      <c r="D497" s="9"/>
      <c r="G497" s="9"/>
    </row>
    <row r="498" spans="4:7" ht="23.25" customHeight="1" x14ac:dyDescent="0.3">
      <c r="D498" s="9"/>
      <c r="G498" s="9"/>
    </row>
    <row r="499" spans="4:7" ht="23.25" customHeight="1" x14ac:dyDescent="0.3">
      <c r="D499" s="9"/>
      <c r="G499" s="9"/>
    </row>
    <row r="500" spans="4:7" ht="23.25" customHeight="1" x14ac:dyDescent="0.3">
      <c r="D500" s="9"/>
      <c r="G500" s="9"/>
    </row>
    <row r="501" spans="4:7" ht="23.25" customHeight="1" x14ac:dyDescent="0.3">
      <c r="D501" s="9"/>
      <c r="G501" s="9"/>
    </row>
    <row r="502" spans="4:7" ht="23.25" customHeight="1" x14ac:dyDescent="0.3">
      <c r="D502" s="9"/>
      <c r="G502" s="9"/>
    </row>
    <row r="503" spans="4:7" ht="23.25" customHeight="1" x14ac:dyDescent="0.3">
      <c r="D503" s="9"/>
      <c r="G503" s="9"/>
    </row>
    <row r="504" spans="4:7" ht="23.25" customHeight="1" x14ac:dyDescent="0.3">
      <c r="D504" s="9"/>
      <c r="G504" s="9"/>
    </row>
    <row r="505" spans="4:7" ht="23.25" customHeight="1" x14ac:dyDescent="0.3">
      <c r="D505" s="9"/>
      <c r="G505" s="9"/>
    </row>
    <row r="506" spans="4:7" ht="23.25" customHeight="1" x14ac:dyDescent="0.3">
      <c r="D506" s="9"/>
      <c r="G506" s="9"/>
    </row>
    <row r="507" spans="4:7" ht="23.25" customHeight="1" x14ac:dyDescent="0.3">
      <c r="D507" s="9"/>
      <c r="G507" s="9"/>
    </row>
    <row r="508" spans="4:7" ht="23.25" customHeight="1" x14ac:dyDescent="0.3">
      <c r="D508" s="9"/>
      <c r="G508" s="9"/>
    </row>
    <row r="509" spans="4:7" ht="23.25" customHeight="1" x14ac:dyDescent="0.3">
      <c r="D509" s="9"/>
      <c r="G509" s="9"/>
    </row>
    <row r="510" spans="4:7" ht="23.25" customHeight="1" x14ac:dyDescent="0.3">
      <c r="D510" s="9"/>
      <c r="G510" s="9"/>
    </row>
    <row r="511" spans="4:7" ht="23.25" customHeight="1" x14ac:dyDescent="0.3">
      <c r="D511" s="9"/>
      <c r="G511" s="9"/>
    </row>
    <row r="512" spans="4:7" ht="23.25" customHeight="1" x14ac:dyDescent="0.3">
      <c r="D512" s="9"/>
      <c r="G512" s="9"/>
    </row>
    <row r="513" spans="4:7" ht="23.25" customHeight="1" x14ac:dyDescent="0.3">
      <c r="D513" s="9"/>
      <c r="G513" s="9"/>
    </row>
    <row r="514" spans="4:7" ht="23.25" customHeight="1" x14ac:dyDescent="0.3">
      <c r="D514" s="9"/>
      <c r="G514" s="9"/>
    </row>
    <row r="515" spans="4:7" ht="23.25" customHeight="1" x14ac:dyDescent="0.3">
      <c r="D515" s="9"/>
      <c r="G515" s="9"/>
    </row>
    <row r="516" spans="4:7" ht="23.25" customHeight="1" x14ac:dyDescent="0.3">
      <c r="D516" s="9"/>
      <c r="G516" s="9"/>
    </row>
    <row r="517" spans="4:7" ht="23.25" customHeight="1" x14ac:dyDescent="0.3">
      <c r="D517" s="9"/>
      <c r="G517" s="9"/>
    </row>
    <row r="518" spans="4:7" ht="23.25" customHeight="1" x14ac:dyDescent="0.3">
      <c r="D518" s="9"/>
      <c r="G518" s="9"/>
    </row>
    <row r="519" spans="4:7" ht="23.25" customHeight="1" x14ac:dyDescent="0.3">
      <c r="D519" s="9"/>
      <c r="G519" s="9"/>
    </row>
    <row r="520" spans="4:7" ht="23.25" customHeight="1" x14ac:dyDescent="0.3">
      <c r="D520" s="9"/>
      <c r="G520" s="9"/>
    </row>
    <row r="521" spans="4:7" ht="23.25" customHeight="1" x14ac:dyDescent="0.3">
      <c r="D521" s="9"/>
      <c r="G521" s="9"/>
    </row>
    <row r="522" spans="4:7" ht="23.25" customHeight="1" x14ac:dyDescent="0.3">
      <c r="D522" s="9"/>
      <c r="G522" s="9"/>
    </row>
    <row r="523" spans="4:7" ht="23.25" customHeight="1" x14ac:dyDescent="0.3">
      <c r="D523" s="9"/>
      <c r="G523" s="9"/>
    </row>
    <row r="524" spans="4:7" ht="23.25" customHeight="1" x14ac:dyDescent="0.3">
      <c r="D524" s="9"/>
      <c r="G524" s="9"/>
    </row>
    <row r="525" spans="4:7" ht="23.25" customHeight="1" x14ac:dyDescent="0.3">
      <c r="D525" s="9"/>
      <c r="G525" s="9"/>
    </row>
    <row r="526" spans="4:7" ht="23.25" customHeight="1" x14ac:dyDescent="0.3">
      <c r="D526" s="9"/>
      <c r="G526" s="9"/>
    </row>
    <row r="527" spans="4:7" ht="23.25" customHeight="1" x14ac:dyDescent="0.3">
      <c r="D527" s="9"/>
      <c r="G527" s="9"/>
    </row>
    <row r="528" spans="4:7" ht="23.25" customHeight="1" x14ac:dyDescent="0.3">
      <c r="D528" s="9"/>
      <c r="G528" s="9"/>
    </row>
    <row r="529" spans="4:7" ht="23.25" customHeight="1" x14ac:dyDescent="0.3">
      <c r="D529" s="9"/>
      <c r="G529" s="9"/>
    </row>
    <row r="530" spans="4:7" ht="23.25" customHeight="1" x14ac:dyDescent="0.3">
      <c r="D530" s="9"/>
      <c r="G530" s="9"/>
    </row>
    <row r="531" spans="4:7" ht="23.25" customHeight="1" x14ac:dyDescent="0.3">
      <c r="D531" s="9"/>
      <c r="G531" s="9"/>
    </row>
    <row r="532" spans="4:7" ht="23.25" customHeight="1" x14ac:dyDescent="0.3">
      <c r="D532" s="9"/>
      <c r="G532" s="9"/>
    </row>
    <row r="533" spans="4:7" ht="23.25" customHeight="1" x14ac:dyDescent="0.3">
      <c r="D533" s="9"/>
      <c r="G533" s="9"/>
    </row>
    <row r="534" spans="4:7" ht="23.25" customHeight="1" x14ac:dyDescent="0.3">
      <c r="D534" s="9"/>
      <c r="G534" s="9"/>
    </row>
    <row r="535" spans="4:7" ht="23.25" customHeight="1" x14ac:dyDescent="0.3">
      <c r="D535" s="9"/>
      <c r="G535" s="9"/>
    </row>
    <row r="536" spans="4:7" ht="23.25" customHeight="1" x14ac:dyDescent="0.3">
      <c r="D536" s="9"/>
      <c r="G536" s="9"/>
    </row>
    <row r="537" spans="4:7" ht="23.25" customHeight="1" x14ac:dyDescent="0.3">
      <c r="D537" s="9"/>
      <c r="G537" s="9"/>
    </row>
    <row r="538" spans="4:7" ht="23.25" customHeight="1" x14ac:dyDescent="0.3">
      <c r="D538" s="9"/>
      <c r="G538" s="9"/>
    </row>
    <row r="539" spans="4:7" ht="23.25" customHeight="1" x14ac:dyDescent="0.3">
      <c r="D539" s="9"/>
      <c r="G539" s="9"/>
    </row>
    <row r="540" spans="4:7" ht="23.25" customHeight="1" x14ac:dyDescent="0.3">
      <c r="D540" s="9"/>
      <c r="G540" s="9"/>
    </row>
    <row r="541" spans="4:7" ht="23.25" customHeight="1" x14ac:dyDescent="0.3">
      <c r="D541" s="9"/>
      <c r="G541" s="9"/>
    </row>
    <row r="542" spans="4:7" ht="23.25" customHeight="1" x14ac:dyDescent="0.3">
      <c r="D542" s="9"/>
      <c r="G542" s="9"/>
    </row>
    <row r="543" spans="4:7" ht="23.25" customHeight="1" x14ac:dyDescent="0.3">
      <c r="D543" s="9"/>
      <c r="G543" s="9"/>
    </row>
    <row r="544" spans="4:7" ht="23.25" customHeight="1" x14ac:dyDescent="0.3">
      <c r="D544" s="9"/>
      <c r="G544" s="9"/>
    </row>
    <row r="545" spans="4:7" ht="23.25" customHeight="1" x14ac:dyDescent="0.3">
      <c r="D545" s="9"/>
      <c r="G545" s="9"/>
    </row>
    <row r="546" spans="4:7" ht="23.25" customHeight="1" x14ac:dyDescent="0.3">
      <c r="D546" s="9"/>
      <c r="G546" s="9"/>
    </row>
    <row r="547" spans="4:7" ht="23.25" customHeight="1" x14ac:dyDescent="0.3">
      <c r="D547" s="9"/>
      <c r="G547" s="9"/>
    </row>
    <row r="548" spans="4:7" ht="23.25" customHeight="1" x14ac:dyDescent="0.3">
      <c r="D548" s="9"/>
      <c r="G548" s="9"/>
    </row>
    <row r="549" spans="4:7" ht="23.25" customHeight="1" x14ac:dyDescent="0.3">
      <c r="D549" s="9"/>
      <c r="G549" s="9"/>
    </row>
    <row r="550" spans="4:7" ht="23.25" customHeight="1" x14ac:dyDescent="0.3">
      <c r="D550" s="9"/>
      <c r="G550" s="9"/>
    </row>
    <row r="551" spans="4:7" ht="23.25" customHeight="1" x14ac:dyDescent="0.3">
      <c r="D551" s="9"/>
      <c r="G551" s="9"/>
    </row>
    <row r="552" spans="4:7" ht="23.25" customHeight="1" x14ac:dyDescent="0.3">
      <c r="D552" s="9"/>
      <c r="G552" s="9"/>
    </row>
    <row r="553" spans="4:7" ht="23.25" customHeight="1" x14ac:dyDescent="0.3">
      <c r="D553" s="9"/>
      <c r="G553" s="9"/>
    </row>
    <row r="554" spans="4:7" ht="23.25" customHeight="1" x14ac:dyDescent="0.3">
      <c r="D554" s="9"/>
      <c r="G554" s="9"/>
    </row>
    <row r="555" spans="4:7" ht="23.25" customHeight="1" x14ac:dyDescent="0.3">
      <c r="D555" s="9"/>
      <c r="G555" s="9"/>
    </row>
    <row r="556" spans="4:7" ht="23.25" customHeight="1" x14ac:dyDescent="0.3">
      <c r="D556" s="9"/>
      <c r="G556" s="9"/>
    </row>
    <row r="557" spans="4:7" ht="23.25" customHeight="1" x14ac:dyDescent="0.3">
      <c r="D557" s="9"/>
      <c r="G557" s="9"/>
    </row>
    <row r="558" spans="4:7" ht="23.25" customHeight="1" x14ac:dyDescent="0.3">
      <c r="D558" s="9"/>
      <c r="G558" s="9"/>
    </row>
    <row r="559" spans="4:7" ht="23.25" customHeight="1" x14ac:dyDescent="0.3">
      <c r="D559" s="9"/>
      <c r="G559" s="9"/>
    </row>
    <row r="560" spans="4:7" ht="23.25" customHeight="1" x14ac:dyDescent="0.3">
      <c r="D560" s="9"/>
      <c r="G560" s="9"/>
    </row>
    <row r="561" spans="4:7" ht="23.25" customHeight="1" x14ac:dyDescent="0.3">
      <c r="D561" s="9"/>
      <c r="G561" s="9"/>
    </row>
    <row r="562" spans="4:7" ht="23.25" customHeight="1" x14ac:dyDescent="0.3">
      <c r="D562" s="9"/>
      <c r="G562" s="9"/>
    </row>
    <row r="563" spans="4:7" ht="23.25" customHeight="1" x14ac:dyDescent="0.3">
      <c r="D563" s="9"/>
      <c r="G563" s="9"/>
    </row>
    <row r="564" spans="4:7" ht="23.25" customHeight="1" x14ac:dyDescent="0.3">
      <c r="D564" s="9"/>
      <c r="G564" s="9"/>
    </row>
    <row r="565" spans="4:7" ht="23.25" customHeight="1" x14ac:dyDescent="0.3">
      <c r="D565" s="9"/>
      <c r="G565" s="9"/>
    </row>
    <row r="566" spans="4:7" ht="23.25" customHeight="1" x14ac:dyDescent="0.3">
      <c r="D566" s="9"/>
      <c r="G566" s="9"/>
    </row>
    <row r="567" spans="4:7" ht="23.25" customHeight="1" x14ac:dyDescent="0.3">
      <c r="D567" s="9"/>
      <c r="G567" s="9"/>
    </row>
    <row r="568" spans="4:7" ht="23.25" customHeight="1" x14ac:dyDescent="0.3">
      <c r="D568" s="9"/>
      <c r="G568" s="9"/>
    </row>
    <row r="569" spans="4:7" ht="23.25" customHeight="1" x14ac:dyDescent="0.3">
      <c r="D569" s="9"/>
      <c r="G569" s="9"/>
    </row>
    <row r="570" spans="4:7" ht="23.25" customHeight="1" x14ac:dyDescent="0.3">
      <c r="D570" s="9"/>
      <c r="G570" s="9"/>
    </row>
    <row r="571" spans="4:7" ht="23.25" customHeight="1" x14ac:dyDescent="0.3">
      <c r="D571" s="9"/>
      <c r="G571" s="9"/>
    </row>
    <row r="572" spans="4:7" ht="23.25" customHeight="1" x14ac:dyDescent="0.3">
      <c r="D572" s="9"/>
      <c r="G572" s="9"/>
    </row>
    <row r="573" spans="4:7" ht="23.25" customHeight="1" x14ac:dyDescent="0.3">
      <c r="D573" s="9"/>
      <c r="G573" s="9"/>
    </row>
    <row r="574" spans="4:7" ht="23.25" customHeight="1" x14ac:dyDescent="0.3">
      <c r="D574" s="9"/>
      <c r="G574" s="9"/>
    </row>
    <row r="575" spans="4:7" ht="23.25" customHeight="1" x14ac:dyDescent="0.3">
      <c r="D575" s="9"/>
      <c r="G575" s="9"/>
    </row>
    <row r="576" spans="4:7" ht="23.25" customHeight="1" x14ac:dyDescent="0.3">
      <c r="D576" s="9"/>
      <c r="G576" s="9"/>
    </row>
    <row r="577" spans="4:7" ht="23.25" customHeight="1" x14ac:dyDescent="0.3">
      <c r="D577" s="9"/>
      <c r="G577" s="9"/>
    </row>
    <row r="578" spans="4:7" ht="23.25" customHeight="1" x14ac:dyDescent="0.3">
      <c r="D578" s="9"/>
      <c r="G578" s="9"/>
    </row>
    <row r="579" spans="4:7" ht="23.25" customHeight="1" x14ac:dyDescent="0.3">
      <c r="D579" s="9"/>
      <c r="G579" s="9"/>
    </row>
    <row r="580" spans="4:7" ht="23.25" customHeight="1" x14ac:dyDescent="0.3">
      <c r="D580" s="9"/>
      <c r="G580" s="9"/>
    </row>
    <row r="581" spans="4:7" ht="23.25" customHeight="1" x14ac:dyDescent="0.3">
      <c r="D581" s="9"/>
      <c r="G581" s="9"/>
    </row>
    <row r="582" spans="4:7" ht="23.25" customHeight="1" x14ac:dyDescent="0.3">
      <c r="D582" s="9"/>
      <c r="G582" s="9"/>
    </row>
    <row r="583" spans="4:7" ht="23.25" customHeight="1" x14ac:dyDescent="0.3">
      <c r="D583" s="9"/>
      <c r="G583" s="9"/>
    </row>
    <row r="584" spans="4:7" ht="23.25" customHeight="1" x14ac:dyDescent="0.3">
      <c r="D584" s="9"/>
      <c r="G584" s="9"/>
    </row>
    <row r="585" spans="4:7" ht="23.25" customHeight="1" x14ac:dyDescent="0.3">
      <c r="D585" s="9"/>
      <c r="G585" s="9"/>
    </row>
    <row r="586" spans="4:7" ht="23.25" customHeight="1" x14ac:dyDescent="0.3">
      <c r="D586" s="9"/>
      <c r="G586" s="9"/>
    </row>
    <row r="587" spans="4:7" ht="23.25" customHeight="1" x14ac:dyDescent="0.3">
      <c r="D587" s="9"/>
      <c r="G587" s="9"/>
    </row>
    <row r="588" spans="4:7" ht="23.25" customHeight="1" x14ac:dyDescent="0.3">
      <c r="D588" s="9"/>
      <c r="G588" s="9"/>
    </row>
    <row r="589" spans="4:7" ht="23.25" customHeight="1" x14ac:dyDescent="0.3">
      <c r="D589" s="9"/>
      <c r="G589" s="9"/>
    </row>
    <row r="590" spans="4:7" ht="23.25" customHeight="1" x14ac:dyDescent="0.3">
      <c r="D590" s="9"/>
      <c r="G590" s="9"/>
    </row>
    <row r="591" spans="4:7" ht="23.25" customHeight="1" x14ac:dyDescent="0.3">
      <c r="D591" s="9"/>
      <c r="G591" s="9"/>
    </row>
    <row r="592" spans="4:7" ht="23.25" customHeight="1" x14ac:dyDescent="0.3">
      <c r="D592" s="9"/>
      <c r="G592" s="9"/>
    </row>
    <row r="593" spans="4:7" ht="23.25" customHeight="1" x14ac:dyDescent="0.3">
      <c r="D593" s="9"/>
      <c r="G593" s="9"/>
    </row>
    <row r="594" spans="4:7" ht="23.25" customHeight="1" x14ac:dyDescent="0.3">
      <c r="D594" s="9"/>
      <c r="G594" s="9"/>
    </row>
    <row r="595" spans="4:7" ht="23.25" customHeight="1" x14ac:dyDescent="0.3">
      <c r="D595" s="9"/>
      <c r="G595" s="9"/>
    </row>
    <row r="596" spans="4:7" ht="23.25" customHeight="1" x14ac:dyDescent="0.3">
      <c r="D596" s="9"/>
      <c r="G596" s="9"/>
    </row>
    <row r="597" spans="4:7" ht="23.25" customHeight="1" x14ac:dyDescent="0.3">
      <c r="D597" s="9"/>
      <c r="G597" s="9"/>
    </row>
    <row r="598" spans="4:7" ht="23.25" customHeight="1" x14ac:dyDescent="0.3">
      <c r="D598" s="9"/>
      <c r="G598" s="9"/>
    </row>
    <row r="599" spans="4:7" ht="23.25" customHeight="1" x14ac:dyDescent="0.3">
      <c r="D599" s="9"/>
      <c r="G599" s="9"/>
    </row>
    <row r="600" spans="4:7" ht="23.25" customHeight="1" x14ac:dyDescent="0.3">
      <c r="D600" s="9"/>
      <c r="G600" s="9"/>
    </row>
    <row r="601" spans="4:7" ht="23.25" customHeight="1" x14ac:dyDescent="0.3">
      <c r="D601" s="9"/>
      <c r="G601" s="9"/>
    </row>
    <row r="602" spans="4:7" ht="23.25" customHeight="1" x14ac:dyDescent="0.3">
      <c r="D602" s="9"/>
      <c r="G602" s="9"/>
    </row>
    <row r="603" spans="4:7" ht="23.25" customHeight="1" x14ac:dyDescent="0.3">
      <c r="D603" s="9"/>
      <c r="G603" s="9"/>
    </row>
    <row r="604" spans="4:7" ht="23.25" customHeight="1" x14ac:dyDescent="0.3">
      <c r="D604" s="9"/>
      <c r="G604" s="9"/>
    </row>
    <row r="605" spans="4:7" ht="23.25" customHeight="1" x14ac:dyDescent="0.3">
      <c r="D605" s="9"/>
      <c r="G605" s="9"/>
    </row>
    <row r="606" spans="4:7" ht="23.25" customHeight="1" x14ac:dyDescent="0.3">
      <c r="D606" s="9"/>
      <c r="G606" s="9"/>
    </row>
    <row r="607" spans="4:7" ht="23.25" customHeight="1" x14ac:dyDescent="0.3">
      <c r="D607" s="9"/>
      <c r="G607" s="9"/>
    </row>
    <row r="608" spans="4:7" ht="23.25" customHeight="1" x14ac:dyDescent="0.3">
      <c r="D608" s="9"/>
      <c r="G608" s="9"/>
    </row>
    <row r="609" spans="4:7" ht="23.25" customHeight="1" x14ac:dyDescent="0.3">
      <c r="D609" s="9"/>
      <c r="G609" s="9"/>
    </row>
    <row r="610" spans="4:7" ht="23.25" customHeight="1" x14ac:dyDescent="0.3">
      <c r="D610" s="9"/>
      <c r="G610" s="9"/>
    </row>
    <row r="611" spans="4:7" ht="23.25" customHeight="1" x14ac:dyDescent="0.3">
      <c r="D611" s="9"/>
      <c r="G611" s="9"/>
    </row>
    <row r="612" spans="4:7" ht="23.25" customHeight="1" x14ac:dyDescent="0.3">
      <c r="D612" s="9"/>
      <c r="G612" s="9"/>
    </row>
    <row r="613" spans="4:7" ht="23.25" customHeight="1" x14ac:dyDescent="0.3">
      <c r="D613" s="9"/>
      <c r="G613" s="9"/>
    </row>
    <row r="614" spans="4:7" ht="23.25" customHeight="1" x14ac:dyDescent="0.3">
      <c r="D614" s="9"/>
      <c r="G614" s="9"/>
    </row>
    <row r="615" spans="4:7" ht="23.25" customHeight="1" x14ac:dyDescent="0.3">
      <c r="D615" s="9"/>
      <c r="G615" s="9"/>
    </row>
    <row r="616" spans="4:7" ht="23.25" customHeight="1" x14ac:dyDescent="0.3">
      <c r="D616" s="9"/>
      <c r="G616" s="9"/>
    </row>
    <row r="617" spans="4:7" ht="23.25" customHeight="1" x14ac:dyDescent="0.3">
      <c r="D617" s="9"/>
      <c r="G617" s="9"/>
    </row>
    <row r="618" spans="4:7" ht="23.25" customHeight="1" x14ac:dyDescent="0.3">
      <c r="D618" s="9"/>
      <c r="G618" s="9"/>
    </row>
    <row r="619" spans="4:7" ht="23.25" customHeight="1" x14ac:dyDescent="0.3">
      <c r="D619" s="9"/>
      <c r="G619" s="9"/>
    </row>
    <row r="620" spans="4:7" ht="23.25" customHeight="1" x14ac:dyDescent="0.3">
      <c r="D620" s="9"/>
      <c r="G620" s="9"/>
    </row>
    <row r="621" spans="4:7" ht="23.25" customHeight="1" x14ac:dyDescent="0.3">
      <c r="D621" s="9"/>
      <c r="G621" s="9"/>
    </row>
    <row r="622" spans="4:7" ht="23.25" customHeight="1" x14ac:dyDescent="0.3">
      <c r="D622" s="9"/>
      <c r="G622" s="9"/>
    </row>
    <row r="623" spans="4:7" ht="23.25" customHeight="1" x14ac:dyDescent="0.3">
      <c r="D623" s="9"/>
      <c r="G623" s="9"/>
    </row>
    <row r="624" spans="4:7" ht="23.25" customHeight="1" x14ac:dyDescent="0.3">
      <c r="D624" s="9"/>
      <c r="G624" s="9"/>
    </row>
    <row r="625" spans="4:7" ht="23.25" customHeight="1" x14ac:dyDescent="0.3">
      <c r="D625" s="9"/>
      <c r="G625" s="9"/>
    </row>
    <row r="626" spans="4:7" ht="23.25" customHeight="1" x14ac:dyDescent="0.3">
      <c r="D626" s="9"/>
      <c r="G626" s="9"/>
    </row>
    <row r="627" spans="4:7" ht="23.25" customHeight="1" x14ac:dyDescent="0.3">
      <c r="D627" s="9"/>
      <c r="G627" s="9"/>
    </row>
    <row r="628" spans="4:7" ht="23.25" customHeight="1" x14ac:dyDescent="0.3">
      <c r="D628" s="9"/>
      <c r="G628" s="9"/>
    </row>
    <row r="629" spans="4:7" ht="23.25" customHeight="1" x14ac:dyDescent="0.3">
      <c r="D629" s="9"/>
      <c r="G629" s="9"/>
    </row>
    <row r="630" spans="4:7" ht="23.25" customHeight="1" x14ac:dyDescent="0.3">
      <c r="D630" s="9"/>
      <c r="G630" s="9"/>
    </row>
    <row r="631" spans="4:7" ht="23.25" customHeight="1" x14ac:dyDescent="0.3">
      <c r="D631" s="9"/>
      <c r="G631" s="9"/>
    </row>
    <row r="632" spans="4:7" ht="23.25" customHeight="1" x14ac:dyDescent="0.3">
      <c r="D632" s="9"/>
      <c r="G632" s="9"/>
    </row>
    <row r="633" spans="4:7" ht="23.25" customHeight="1" x14ac:dyDescent="0.3">
      <c r="D633" s="9"/>
      <c r="G633" s="9"/>
    </row>
    <row r="634" spans="4:7" ht="23.25" customHeight="1" x14ac:dyDescent="0.3">
      <c r="D634" s="9"/>
      <c r="G634" s="9"/>
    </row>
    <row r="635" spans="4:7" ht="23.25" customHeight="1" x14ac:dyDescent="0.3">
      <c r="D635" s="9"/>
      <c r="G635" s="9"/>
    </row>
    <row r="636" spans="4:7" ht="23.25" customHeight="1" x14ac:dyDescent="0.3">
      <c r="D636" s="9"/>
      <c r="G636" s="9"/>
    </row>
    <row r="637" spans="4:7" ht="23.25" customHeight="1" x14ac:dyDescent="0.3">
      <c r="D637" s="9"/>
      <c r="G637" s="9"/>
    </row>
    <row r="638" spans="4:7" ht="23.25" customHeight="1" x14ac:dyDescent="0.3">
      <c r="D638" s="9"/>
      <c r="G638" s="9"/>
    </row>
    <row r="639" spans="4:7" ht="23.25" customHeight="1" x14ac:dyDescent="0.3">
      <c r="D639" s="9"/>
      <c r="G639" s="9"/>
    </row>
    <row r="640" spans="4:7" ht="23.25" customHeight="1" x14ac:dyDescent="0.3">
      <c r="D640" s="9"/>
      <c r="G640" s="9"/>
    </row>
    <row r="641" spans="4:7" ht="23.25" customHeight="1" x14ac:dyDescent="0.3">
      <c r="D641" s="9"/>
      <c r="G641" s="9"/>
    </row>
    <row r="642" spans="4:7" ht="23.25" customHeight="1" x14ac:dyDescent="0.3">
      <c r="D642" s="9"/>
      <c r="G642" s="9"/>
    </row>
    <row r="643" spans="4:7" ht="23.25" customHeight="1" x14ac:dyDescent="0.3">
      <c r="D643" s="9"/>
      <c r="G643" s="9"/>
    </row>
    <row r="644" spans="4:7" ht="23.25" customHeight="1" x14ac:dyDescent="0.3">
      <c r="D644" s="9"/>
      <c r="G644" s="9"/>
    </row>
    <row r="645" spans="4:7" ht="23.25" customHeight="1" x14ac:dyDescent="0.3">
      <c r="D645" s="9"/>
      <c r="G645" s="9"/>
    </row>
    <row r="646" spans="4:7" ht="23.25" customHeight="1" x14ac:dyDescent="0.3">
      <c r="D646" s="9"/>
      <c r="G646" s="9"/>
    </row>
    <row r="647" spans="4:7" ht="23.25" customHeight="1" x14ac:dyDescent="0.3">
      <c r="D647" s="9"/>
      <c r="G647" s="9"/>
    </row>
    <row r="648" spans="4:7" ht="23.25" customHeight="1" x14ac:dyDescent="0.3">
      <c r="D648" s="9"/>
      <c r="G648" s="9"/>
    </row>
    <row r="649" spans="4:7" ht="23.25" customHeight="1" x14ac:dyDescent="0.3">
      <c r="D649" s="9"/>
      <c r="G649" s="9"/>
    </row>
    <row r="650" spans="4:7" ht="23.25" customHeight="1" x14ac:dyDescent="0.3">
      <c r="D650" s="9"/>
      <c r="G650" s="9"/>
    </row>
    <row r="651" spans="4:7" ht="23.25" customHeight="1" x14ac:dyDescent="0.3">
      <c r="D651" s="9"/>
      <c r="G651" s="9"/>
    </row>
    <row r="652" spans="4:7" ht="23.25" customHeight="1" x14ac:dyDescent="0.3">
      <c r="D652" s="9"/>
      <c r="G652" s="9"/>
    </row>
    <row r="653" spans="4:7" ht="23.25" customHeight="1" x14ac:dyDescent="0.3">
      <c r="D653" s="9"/>
      <c r="G653" s="9"/>
    </row>
    <row r="654" spans="4:7" ht="23.25" customHeight="1" x14ac:dyDescent="0.3">
      <c r="D654" s="9"/>
      <c r="G654" s="9"/>
    </row>
    <row r="655" spans="4:7" ht="23.25" customHeight="1" x14ac:dyDescent="0.3">
      <c r="D655" s="9"/>
      <c r="G655" s="9"/>
    </row>
    <row r="656" spans="4:7" ht="23.25" customHeight="1" x14ac:dyDescent="0.3">
      <c r="D656" s="9"/>
      <c r="G656" s="9"/>
    </row>
    <row r="657" spans="4:7" ht="23.25" customHeight="1" x14ac:dyDescent="0.3">
      <c r="D657" s="9"/>
      <c r="G657" s="9"/>
    </row>
    <row r="658" spans="4:7" ht="23.25" customHeight="1" x14ac:dyDescent="0.3">
      <c r="D658" s="9"/>
      <c r="G658" s="9"/>
    </row>
    <row r="659" spans="4:7" ht="23.25" customHeight="1" x14ac:dyDescent="0.3">
      <c r="D659" s="9"/>
      <c r="G659" s="9"/>
    </row>
    <row r="660" spans="4:7" ht="23.25" customHeight="1" x14ac:dyDescent="0.3">
      <c r="D660" s="9"/>
      <c r="G660" s="9"/>
    </row>
    <row r="661" spans="4:7" ht="23.25" customHeight="1" x14ac:dyDescent="0.3">
      <c r="D661" s="9"/>
      <c r="G661" s="9"/>
    </row>
    <row r="662" spans="4:7" ht="23.25" customHeight="1" x14ac:dyDescent="0.3">
      <c r="D662" s="9"/>
      <c r="G662" s="9"/>
    </row>
    <row r="663" spans="4:7" ht="23.25" customHeight="1" x14ac:dyDescent="0.3">
      <c r="D663" s="9"/>
      <c r="G663" s="9"/>
    </row>
    <row r="664" spans="4:7" ht="23.25" customHeight="1" x14ac:dyDescent="0.3">
      <c r="D664" s="9"/>
      <c r="G664" s="9"/>
    </row>
    <row r="665" spans="4:7" ht="23.25" customHeight="1" x14ac:dyDescent="0.3">
      <c r="D665" s="9"/>
      <c r="G665" s="9"/>
    </row>
    <row r="666" spans="4:7" ht="23.25" customHeight="1" x14ac:dyDescent="0.3">
      <c r="D666" s="9"/>
      <c r="G666" s="9"/>
    </row>
    <row r="667" spans="4:7" ht="23.25" customHeight="1" x14ac:dyDescent="0.3">
      <c r="D667" s="9"/>
      <c r="G667" s="9"/>
    </row>
    <row r="668" spans="4:7" ht="23.25" customHeight="1" x14ac:dyDescent="0.3">
      <c r="D668" s="9"/>
      <c r="G668" s="9"/>
    </row>
    <row r="669" spans="4:7" ht="23.25" customHeight="1" x14ac:dyDescent="0.3">
      <c r="D669" s="9"/>
      <c r="G669" s="9"/>
    </row>
    <row r="670" spans="4:7" ht="23.25" customHeight="1" x14ac:dyDescent="0.3">
      <c r="D670" s="9"/>
      <c r="G670" s="9"/>
    </row>
    <row r="671" spans="4:7" ht="23.25" customHeight="1" x14ac:dyDescent="0.3">
      <c r="D671" s="9"/>
      <c r="G671" s="9"/>
    </row>
    <row r="672" spans="4:7" ht="23.25" customHeight="1" x14ac:dyDescent="0.3">
      <c r="D672" s="9"/>
      <c r="G672" s="9"/>
    </row>
    <row r="673" spans="4:7" ht="23.25" customHeight="1" x14ac:dyDescent="0.3">
      <c r="D673" s="9"/>
      <c r="G673" s="9"/>
    </row>
    <row r="674" spans="4:7" ht="23.25" customHeight="1" x14ac:dyDescent="0.3">
      <c r="D674" s="9"/>
      <c r="G674" s="9"/>
    </row>
    <row r="675" spans="4:7" ht="23.25" customHeight="1" x14ac:dyDescent="0.3">
      <c r="D675" s="9"/>
      <c r="G675" s="9"/>
    </row>
    <row r="676" spans="4:7" ht="23.25" customHeight="1" x14ac:dyDescent="0.3">
      <c r="D676" s="9"/>
      <c r="G676" s="9"/>
    </row>
    <row r="677" spans="4:7" ht="23.25" customHeight="1" x14ac:dyDescent="0.3">
      <c r="D677" s="9"/>
      <c r="G677" s="9"/>
    </row>
    <row r="678" spans="4:7" ht="23.25" customHeight="1" x14ac:dyDescent="0.3">
      <c r="D678" s="9"/>
      <c r="G678" s="9"/>
    </row>
    <row r="679" spans="4:7" ht="23.25" customHeight="1" x14ac:dyDescent="0.3">
      <c r="D679" s="9"/>
      <c r="G679" s="9"/>
    </row>
    <row r="680" spans="4:7" ht="23.25" customHeight="1" x14ac:dyDescent="0.3">
      <c r="D680" s="9"/>
      <c r="G680" s="9"/>
    </row>
    <row r="681" spans="4:7" ht="23.25" customHeight="1" x14ac:dyDescent="0.3">
      <c r="D681" s="9"/>
      <c r="G681" s="9"/>
    </row>
    <row r="682" spans="4:7" ht="23.25" customHeight="1" x14ac:dyDescent="0.3">
      <c r="D682" s="9"/>
      <c r="G682" s="9"/>
    </row>
    <row r="683" spans="4:7" ht="23.25" customHeight="1" x14ac:dyDescent="0.3">
      <c r="D683" s="9"/>
      <c r="G683" s="9"/>
    </row>
    <row r="684" spans="4:7" ht="23.25" customHeight="1" x14ac:dyDescent="0.3">
      <c r="D684" s="9"/>
      <c r="G684" s="9"/>
    </row>
    <row r="685" spans="4:7" ht="23.25" customHeight="1" x14ac:dyDescent="0.3">
      <c r="D685" s="9"/>
      <c r="G685" s="9"/>
    </row>
    <row r="686" spans="4:7" ht="23.25" customHeight="1" x14ac:dyDescent="0.3">
      <c r="D686" s="9"/>
      <c r="G686" s="9"/>
    </row>
    <row r="687" spans="4:7" ht="23.25" customHeight="1" x14ac:dyDescent="0.3">
      <c r="D687" s="9"/>
      <c r="G687" s="9"/>
    </row>
    <row r="688" spans="4:7" ht="23.25" customHeight="1" x14ac:dyDescent="0.3">
      <c r="D688" s="9"/>
      <c r="G688" s="9"/>
    </row>
    <row r="689" spans="4:7" ht="23.25" customHeight="1" x14ac:dyDescent="0.3">
      <c r="D689" s="9"/>
      <c r="G689" s="9"/>
    </row>
    <row r="690" spans="4:7" ht="23.25" customHeight="1" x14ac:dyDescent="0.3">
      <c r="D690" s="9"/>
      <c r="G690" s="9"/>
    </row>
    <row r="691" spans="4:7" ht="23.25" customHeight="1" x14ac:dyDescent="0.3">
      <c r="D691" s="9"/>
      <c r="G691" s="9"/>
    </row>
    <row r="692" spans="4:7" ht="23.25" customHeight="1" x14ac:dyDescent="0.3">
      <c r="D692" s="9"/>
      <c r="G692" s="9"/>
    </row>
    <row r="693" spans="4:7" ht="23.25" customHeight="1" x14ac:dyDescent="0.3">
      <c r="D693" s="9"/>
      <c r="G693" s="9"/>
    </row>
    <row r="694" spans="4:7" ht="23.25" customHeight="1" x14ac:dyDescent="0.3">
      <c r="D694" s="9"/>
      <c r="G694" s="9"/>
    </row>
    <row r="695" spans="4:7" ht="23.25" customHeight="1" x14ac:dyDescent="0.3">
      <c r="D695" s="9"/>
      <c r="G695" s="9"/>
    </row>
    <row r="696" spans="4:7" ht="23.25" customHeight="1" x14ac:dyDescent="0.3">
      <c r="D696" s="9"/>
      <c r="G696" s="9"/>
    </row>
    <row r="697" spans="4:7" ht="23.25" customHeight="1" x14ac:dyDescent="0.3">
      <c r="D697" s="9"/>
      <c r="G697" s="9"/>
    </row>
    <row r="698" spans="4:7" ht="23.25" customHeight="1" x14ac:dyDescent="0.3">
      <c r="D698" s="9"/>
      <c r="G698" s="9"/>
    </row>
    <row r="699" spans="4:7" ht="23.25" customHeight="1" x14ac:dyDescent="0.3">
      <c r="D699" s="9"/>
      <c r="G699" s="9"/>
    </row>
    <row r="700" spans="4:7" ht="23.25" customHeight="1" x14ac:dyDescent="0.3">
      <c r="D700" s="9"/>
      <c r="G700" s="9"/>
    </row>
    <row r="701" spans="4:7" ht="23.25" customHeight="1" x14ac:dyDescent="0.3">
      <c r="D701" s="9"/>
      <c r="G701" s="9"/>
    </row>
    <row r="702" spans="4:7" ht="23.25" customHeight="1" x14ac:dyDescent="0.3">
      <c r="D702" s="9"/>
      <c r="G702" s="9"/>
    </row>
    <row r="703" spans="4:7" ht="23.25" customHeight="1" x14ac:dyDescent="0.3">
      <c r="D703" s="9"/>
      <c r="G703" s="9"/>
    </row>
    <row r="704" spans="4:7" ht="23.25" customHeight="1" x14ac:dyDescent="0.3">
      <c r="D704" s="9"/>
      <c r="G704" s="9"/>
    </row>
    <row r="705" spans="4:7" ht="23.25" customHeight="1" x14ac:dyDescent="0.3">
      <c r="D705" s="9"/>
      <c r="G705" s="9"/>
    </row>
    <row r="706" spans="4:7" ht="23.25" customHeight="1" x14ac:dyDescent="0.3">
      <c r="D706" s="9"/>
      <c r="G706" s="9"/>
    </row>
    <row r="707" spans="4:7" ht="23.25" customHeight="1" x14ac:dyDescent="0.3">
      <c r="D707" s="9"/>
      <c r="G707" s="9"/>
    </row>
    <row r="708" spans="4:7" ht="23.25" customHeight="1" x14ac:dyDescent="0.3">
      <c r="D708" s="9"/>
      <c r="G708" s="9"/>
    </row>
    <row r="709" spans="4:7" ht="23.25" customHeight="1" x14ac:dyDescent="0.3">
      <c r="D709" s="9"/>
      <c r="G709" s="9"/>
    </row>
    <row r="710" spans="4:7" ht="23.25" customHeight="1" x14ac:dyDescent="0.3">
      <c r="D710" s="9"/>
      <c r="G710" s="9"/>
    </row>
    <row r="711" spans="4:7" ht="23.25" customHeight="1" x14ac:dyDescent="0.3">
      <c r="D711" s="9"/>
      <c r="G711" s="9"/>
    </row>
    <row r="712" spans="4:7" ht="23.25" customHeight="1" x14ac:dyDescent="0.3">
      <c r="D712" s="9"/>
      <c r="G712" s="9"/>
    </row>
    <row r="713" spans="4:7" ht="23.25" customHeight="1" x14ac:dyDescent="0.3">
      <c r="D713" s="9"/>
      <c r="G713" s="9"/>
    </row>
    <row r="714" spans="4:7" ht="23.25" customHeight="1" x14ac:dyDescent="0.3">
      <c r="D714" s="9"/>
      <c r="G714" s="9"/>
    </row>
    <row r="715" spans="4:7" ht="23.25" customHeight="1" x14ac:dyDescent="0.3">
      <c r="D715" s="9"/>
      <c r="G715" s="9"/>
    </row>
    <row r="716" spans="4:7" ht="23.25" customHeight="1" x14ac:dyDescent="0.3">
      <c r="D716" s="9"/>
      <c r="G716" s="9"/>
    </row>
    <row r="717" spans="4:7" ht="23.25" customHeight="1" x14ac:dyDescent="0.3">
      <c r="D717" s="9"/>
      <c r="G717" s="9"/>
    </row>
    <row r="718" spans="4:7" ht="23.25" customHeight="1" x14ac:dyDescent="0.3">
      <c r="D718" s="9"/>
      <c r="G718" s="9"/>
    </row>
    <row r="719" spans="4:7" ht="23.25" customHeight="1" x14ac:dyDescent="0.3">
      <c r="D719" s="9"/>
      <c r="G719" s="9"/>
    </row>
    <row r="720" spans="4:7" ht="23.25" customHeight="1" x14ac:dyDescent="0.3">
      <c r="D720" s="9"/>
      <c r="G720" s="9"/>
    </row>
    <row r="721" spans="4:7" ht="23.25" customHeight="1" x14ac:dyDescent="0.3">
      <c r="D721" s="9"/>
      <c r="G721" s="9"/>
    </row>
    <row r="722" spans="4:7" ht="23.25" customHeight="1" x14ac:dyDescent="0.3">
      <c r="D722" s="9"/>
      <c r="G722" s="9"/>
    </row>
    <row r="723" spans="4:7" ht="23.25" customHeight="1" x14ac:dyDescent="0.3">
      <c r="D723" s="9"/>
      <c r="G723" s="9"/>
    </row>
    <row r="724" spans="4:7" ht="23.25" customHeight="1" x14ac:dyDescent="0.3">
      <c r="D724" s="9"/>
      <c r="G724" s="9"/>
    </row>
    <row r="725" spans="4:7" ht="23.25" customHeight="1" x14ac:dyDescent="0.3">
      <c r="D725" s="9"/>
      <c r="G725" s="9"/>
    </row>
    <row r="726" spans="4:7" ht="23.25" customHeight="1" x14ac:dyDescent="0.3">
      <c r="D726" s="9"/>
      <c r="G726" s="9"/>
    </row>
    <row r="727" spans="4:7" ht="23.25" customHeight="1" x14ac:dyDescent="0.3">
      <c r="D727" s="9"/>
      <c r="G727" s="9"/>
    </row>
    <row r="728" spans="4:7" ht="23.25" customHeight="1" x14ac:dyDescent="0.3">
      <c r="D728" s="9"/>
      <c r="G728" s="9"/>
    </row>
    <row r="729" spans="4:7" ht="23.25" customHeight="1" x14ac:dyDescent="0.3">
      <c r="D729" s="9"/>
      <c r="G729" s="9"/>
    </row>
    <row r="730" spans="4:7" ht="23.25" customHeight="1" x14ac:dyDescent="0.3">
      <c r="D730" s="9"/>
      <c r="G730" s="9"/>
    </row>
    <row r="731" spans="4:7" ht="23.25" customHeight="1" x14ac:dyDescent="0.3">
      <c r="D731" s="9"/>
      <c r="G731" s="9"/>
    </row>
    <row r="732" spans="4:7" ht="23.25" customHeight="1" x14ac:dyDescent="0.3">
      <c r="D732" s="9"/>
      <c r="G732" s="9"/>
    </row>
    <row r="733" spans="4:7" ht="23.25" customHeight="1" x14ac:dyDescent="0.3">
      <c r="D733" s="9"/>
      <c r="G733" s="9"/>
    </row>
    <row r="734" spans="4:7" ht="23.25" customHeight="1" x14ac:dyDescent="0.3">
      <c r="D734" s="9"/>
      <c r="G734" s="9"/>
    </row>
    <row r="735" spans="4:7" ht="23.25" customHeight="1" x14ac:dyDescent="0.3">
      <c r="D735" s="9"/>
      <c r="G735" s="9"/>
    </row>
    <row r="736" spans="4:7" ht="23.25" customHeight="1" x14ac:dyDescent="0.3">
      <c r="D736" s="9"/>
      <c r="G736" s="9"/>
    </row>
    <row r="737" spans="4:7" ht="23.25" customHeight="1" x14ac:dyDescent="0.3">
      <c r="D737" s="9"/>
      <c r="G737" s="9"/>
    </row>
    <row r="738" spans="4:7" ht="23.25" customHeight="1" x14ac:dyDescent="0.3">
      <c r="D738" s="9"/>
      <c r="G738" s="9"/>
    </row>
    <row r="739" spans="4:7" ht="23.25" customHeight="1" x14ac:dyDescent="0.3">
      <c r="D739" s="9"/>
      <c r="G739" s="9"/>
    </row>
    <row r="740" spans="4:7" ht="23.25" customHeight="1" x14ac:dyDescent="0.3">
      <c r="D740" s="9"/>
      <c r="G740" s="9"/>
    </row>
    <row r="741" spans="4:7" ht="23.25" customHeight="1" x14ac:dyDescent="0.3">
      <c r="D741" s="9"/>
      <c r="G741" s="9"/>
    </row>
    <row r="742" spans="4:7" ht="23.25" customHeight="1" x14ac:dyDescent="0.3">
      <c r="D742" s="9"/>
      <c r="G742" s="9"/>
    </row>
    <row r="743" spans="4:7" ht="23.25" customHeight="1" x14ac:dyDescent="0.3">
      <c r="D743" s="9"/>
      <c r="G743" s="9"/>
    </row>
    <row r="744" spans="4:7" ht="23.25" customHeight="1" x14ac:dyDescent="0.3">
      <c r="D744" s="9"/>
      <c r="G744" s="9"/>
    </row>
    <row r="745" spans="4:7" ht="23.25" customHeight="1" x14ac:dyDescent="0.3">
      <c r="D745" s="9"/>
      <c r="G745" s="9"/>
    </row>
    <row r="746" spans="4:7" ht="23.25" customHeight="1" x14ac:dyDescent="0.3">
      <c r="D746" s="9"/>
      <c r="G746" s="9"/>
    </row>
    <row r="747" spans="4:7" ht="23.25" customHeight="1" x14ac:dyDescent="0.3">
      <c r="D747" s="9"/>
      <c r="G747" s="9"/>
    </row>
    <row r="748" spans="4:7" ht="23.25" customHeight="1" x14ac:dyDescent="0.3">
      <c r="D748" s="9"/>
      <c r="G748" s="9"/>
    </row>
    <row r="749" spans="4:7" ht="23.25" customHeight="1" x14ac:dyDescent="0.3">
      <c r="D749" s="9"/>
      <c r="G749" s="9"/>
    </row>
    <row r="750" spans="4:7" ht="23.25" customHeight="1" x14ac:dyDescent="0.3">
      <c r="D750" s="9"/>
      <c r="G750" s="9"/>
    </row>
    <row r="751" spans="4:7" ht="23.25" customHeight="1" x14ac:dyDescent="0.3">
      <c r="D751" s="9"/>
      <c r="G751" s="9"/>
    </row>
    <row r="752" spans="4:7" ht="23.25" customHeight="1" x14ac:dyDescent="0.3">
      <c r="D752" s="9"/>
      <c r="G752" s="9"/>
    </row>
    <row r="753" spans="4:7" ht="23.25" customHeight="1" x14ac:dyDescent="0.3">
      <c r="D753" s="9"/>
      <c r="G753" s="9"/>
    </row>
    <row r="754" spans="4:7" ht="23.25" customHeight="1" x14ac:dyDescent="0.3">
      <c r="D754" s="9"/>
      <c r="G754" s="9"/>
    </row>
    <row r="755" spans="4:7" ht="23.25" customHeight="1" x14ac:dyDescent="0.3">
      <c r="D755" s="9"/>
      <c r="G755" s="9"/>
    </row>
    <row r="756" spans="4:7" ht="23.25" customHeight="1" x14ac:dyDescent="0.3">
      <c r="D756" s="9"/>
      <c r="G756" s="9"/>
    </row>
    <row r="757" spans="4:7" ht="23.25" customHeight="1" x14ac:dyDescent="0.3">
      <c r="D757" s="9"/>
      <c r="G757" s="9"/>
    </row>
    <row r="758" spans="4:7" ht="23.25" customHeight="1" x14ac:dyDescent="0.3">
      <c r="D758" s="9"/>
      <c r="G758" s="9"/>
    </row>
    <row r="759" spans="4:7" ht="23.25" customHeight="1" x14ac:dyDescent="0.3">
      <c r="D759" s="9"/>
      <c r="G759" s="9"/>
    </row>
    <row r="760" spans="4:7" ht="23.25" customHeight="1" x14ac:dyDescent="0.3">
      <c r="D760" s="9"/>
      <c r="G760" s="9"/>
    </row>
    <row r="761" spans="4:7" ht="23.25" customHeight="1" x14ac:dyDescent="0.3">
      <c r="D761" s="9"/>
      <c r="G761" s="9"/>
    </row>
    <row r="762" spans="4:7" ht="23.25" customHeight="1" x14ac:dyDescent="0.3">
      <c r="D762" s="9"/>
      <c r="G762" s="9"/>
    </row>
    <row r="763" spans="4:7" ht="23.25" customHeight="1" x14ac:dyDescent="0.3">
      <c r="D763" s="9"/>
      <c r="G763" s="9"/>
    </row>
    <row r="764" spans="4:7" ht="23.25" customHeight="1" x14ac:dyDescent="0.3">
      <c r="D764" s="9"/>
      <c r="G764" s="9"/>
    </row>
    <row r="765" spans="4:7" ht="23.25" customHeight="1" x14ac:dyDescent="0.3">
      <c r="D765" s="9"/>
      <c r="G765" s="9"/>
    </row>
    <row r="766" spans="4:7" ht="23.25" customHeight="1" x14ac:dyDescent="0.3">
      <c r="D766" s="9"/>
      <c r="G766" s="9"/>
    </row>
    <row r="767" spans="4:7" ht="23.25" customHeight="1" x14ac:dyDescent="0.3">
      <c r="D767" s="9"/>
      <c r="G767" s="9"/>
    </row>
    <row r="768" spans="4:7" ht="23.25" customHeight="1" x14ac:dyDescent="0.3">
      <c r="D768" s="9"/>
      <c r="G768" s="9"/>
    </row>
    <row r="769" spans="4:7" ht="23.25" customHeight="1" x14ac:dyDescent="0.3">
      <c r="D769" s="9"/>
      <c r="G769" s="9"/>
    </row>
    <row r="770" spans="4:7" ht="23.25" customHeight="1" x14ac:dyDescent="0.3">
      <c r="D770" s="9"/>
      <c r="G770" s="9"/>
    </row>
    <row r="771" spans="4:7" ht="23.25" customHeight="1" x14ac:dyDescent="0.3">
      <c r="D771" s="9"/>
      <c r="G771" s="9"/>
    </row>
    <row r="772" spans="4:7" ht="23.25" customHeight="1" x14ac:dyDescent="0.3">
      <c r="D772" s="9"/>
      <c r="G772" s="9"/>
    </row>
    <row r="773" spans="4:7" ht="23.25" customHeight="1" x14ac:dyDescent="0.3">
      <c r="D773" s="9"/>
      <c r="G773" s="9"/>
    </row>
    <row r="774" spans="4:7" ht="23.25" customHeight="1" x14ac:dyDescent="0.3">
      <c r="D774" s="9"/>
      <c r="G774" s="9"/>
    </row>
    <row r="775" spans="4:7" ht="23.25" customHeight="1" x14ac:dyDescent="0.3">
      <c r="D775" s="9"/>
      <c r="G775" s="9"/>
    </row>
    <row r="776" spans="4:7" ht="23.25" customHeight="1" x14ac:dyDescent="0.3">
      <c r="D776" s="9"/>
      <c r="G776" s="9"/>
    </row>
    <row r="777" spans="4:7" ht="23.25" customHeight="1" x14ac:dyDescent="0.3">
      <c r="D777" s="9"/>
      <c r="G777" s="9"/>
    </row>
    <row r="778" spans="4:7" ht="23.25" customHeight="1" x14ac:dyDescent="0.3">
      <c r="D778" s="9"/>
      <c r="G778" s="9"/>
    </row>
    <row r="779" spans="4:7" ht="23.25" customHeight="1" x14ac:dyDescent="0.3">
      <c r="D779" s="9"/>
      <c r="G779" s="9"/>
    </row>
    <row r="780" spans="4:7" ht="23.25" customHeight="1" x14ac:dyDescent="0.3">
      <c r="D780" s="9"/>
      <c r="G780" s="9"/>
    </row>
    <row r="781" spans="4:7" ht="23.25" customHeight="1" x14ac:dyDescent="0.3">
      <c r="D781" s="9"/>
      <c r="G781" s="9"/>
    </row>
    <row r="782" spans="4:7" ht="23.25" customHeight="1" x14ac:dyDescent="0.3">
      <c r="D782" s="9"/>
      <c r="G782" s="9"/>
    </row>
    <row r="783" spans="4:7" ht="23.25" customHeight="1" x14ac:dyDescent="0.3">
      <c r="D783" s="9"/>
      <c r="G783" s="9"/>
    </row>
    <row r="784" spans="4:7" ht="23.25" customHeight="1" x14ac:dyDescent="0.3">
      <c r="D784" s="9"/>
      <c r="G784" s="9"/>
    </row>
    <row r="785" spans="4:7" ht="23.25" customHeight="1" x14ac:dyDescent="0.3">
      <c r="D785" s="9"/>
      <c r="G785" s="9"/>
    </row>
    <row r="786" spans="4:7" ht="23.25" customHeight="1" x14ac:dyDescent="0.3">
      <c r="D786" s="9"/>
      <c r="G786" s="9"/>
    </row>
    <row r="787" spans="4:7" ht="23.25" customHeight="1" x14ac:dyDescent="0.3">
      <c r="D787" s="9"/>
      <c r="G787" s="9"/>
    </row>
    <row r="788" spans="4:7" ht="23.25" customHeight="1" x14ac:dyDescent="0.3">
      <c r="D788" s="9"/>
      <c r="G788" s="9"/>
    </row>
    <row r="789" spans="4:7" ht="23.25" customHeight="1" x14ac:dyDescent="0.3">
      <c r="D789" s="9"/>
      <c r="G789" s="9"/>
    </row>
    <row r="790" spans="4:7" ht="23.25" customHeight="1" x14ac:dyDescent="0.3">
      <c r="D790" s="9"/>
      <c r="G790" s="9"/>
    </row>
    <row r="791" spans="4:7" ht="23.25" customHeight="1" x14ac:dyDescent="0.3">
      <c r="D791" s="9"/>
      <c r="G791" s="9"/>
    </row>
    <row r="792" spans="4:7" ht="23.25" customHeight="1" x14ac:dyDescent="0.3">
      <c r="D792" s="9"/>
      <c r="G792" s="9"/>
    </row>
    <row r="793" spans="4:7" ht="23.25" customHeight="1" x14ac:dyDescent="0.3">
      <c r="D793" s="9"/>
      <c r="G793" s="9"/>
    </row>
    <row r="794" spans="4:7" ht="23.25" customHeight="1" x14ac:dyDescent="0.3">
      <c r="D794" s="9"/>
      <c r="G794" s="9"/>
    </row>
    <row r="795" spans="4:7" ht="23.25" customHeight="1" x14ac:dyDescent="0.3">
      <c r="D795" s="9"/>
      <c r="G795" s="9"/>
    </row>
    <row r="796" spans="4:7" ht="23.25" customHeight="1" x14ac:dyDescent="0.3">
      <c r="D796" s="9"/>
      <c r="G796" s="9"/>
    </row>
    <row r="797" spans="4:7" ht="23.25" customHeight="1" x14ac:dyDescent="0.3">
      <c r="D797" s="9"/>
      <c r="G797" s="9"/>
    </row>
    <row r="798" spans="4:7" ht="23.25" customHeight="1" x14ac:dyDescent="0.3">
      <c r="D798" s="9"/>
      <c r="G798" s="9"/>
    </row>
    <row r="799" spans="4:7" ht="23.25" customHeight="1" x14ac:dyDescent="0.3">
      <c r="D799" s="9"/>
      <c r="G799" s="9"/>
    </row>
    <row r="800" spans="4:7" ht="23.25" customHeight="1" x14ac:dyDescent="0.3">
      <c r="D800" s="9"/>
      <c r="G800" s="9"/>
    </row>
    <row r="801" spans="4:7" ht="23.25" customHeight="1" x14ac:dyDescent="0.3">
      <c r="D801" s="9"/>
      <c r="G801" s="9"/>
    </row>
    <row r="802" spans="4:7" ht="23.25" customHeight="1" x14ac:dyDescent="0.3">
      <c r="D802" s="9"/>
      <c r="G802" s="9"/>
    </row>
    <row r="803" spans="4:7" ht="23.25" customHeight="1" x14ac:dyDescent="0.3">
      <c r="D803" s="9"/>
      <c r="G803" s="9"/>
    </row>
    <row r="804" spans="4:7" ht="23.25" customHeight="1" x14ac:dyDescent="0.3">
      <c r="D804" s="9"/>
      <c r="G804" s="9"/>
    </row>
    <row r="805" spans="4:7" ht="23.25" customHeight="1" x14ac:dyDescent="0.3">
      <c r="D805" s="9"/>
      <c r="G805" s="9"/>
    </row>
    <row r="806" spans="4:7" ht="23.25" customHeight="1" x14ac:dyDescent="0.3">
      <c r="D806" s="9"/>
      <c r="G806" s="9"/>
    </row>
    <row r="807" spans="4:7" ht="23.25" customHeight="1" x14ac:dyDescent="0.3">
      <c r="D807" s="9"/>
      <c r="G807" s="9"/>
    </row>
    <row r="808" spans="4:7" ht="23.25" customHeight="1" x14ac:dyDescent="0.3">
      <c r="D808" s="9"/>
      <c r="G808" s="9"/>
    </row>
    <row r="809" spans="4:7" ht="23.25" customHeight="1" x14ac:dyDescent="0.3">
      <c r="D809" s="9"/>
      <c r="G809" s="9"/>
    </row>
    <row r="810" spans="4:7" ht="23.25" customHeight="1" x14ac:dyDescent="0.3">
      <c r="D810" s="9"/>
      <c r="G810" s="9"/>
    </row>
    <row r="811" spans="4:7" ht="23.25" customHeight="1" x14ac:dyDescent="0.3">
      <c r="D811" s="9"/>
      <c r="G811" s="9"/>
    </row>
    <row r="812" spans="4:7" ht="23.25" customHeight="1" x14ac:dyDescent="0.3">
      <c r="D812" s="9"/>
      <c r="G812" s="9"/>
    </row>
    <row r="813" spans="4:7" ht="23.25" customHeight="1" x14ac:dyDescent="0.3">
      <c r="D813" s="9"/>
      <c r="G813" s="9"/>
    </row>
    <row r="814" spans="4:7" ht="23.25" customHeight="1" x14ac:dyDescent="0.3">
      <c r="D814" s="9"/>
      <c r="G814" s="9"/>
    </row>
    <row r="815" spans="4:7" ht="23.25" customHeight="1" x14ac:dyDescent="0.3">
      <c r="D815" s="9"/>
      <c r="G815" s="9"/>
    </row>
    <row r="816" spans="4:7" ht="23.25" customHeight="1" x14ac:dyDescent="0.3">
      <c r="D816" s="9"/>
      <c r="G816" s="9"/>
    </row>
    <row r="817" spans="4:7" ht="23.25" customHeight="1" x14ac:dyDescent="0.3">
      <c r="D817" s="9"/>
      <c r="G817" s="9"/>
    </row>
    <row r="818" spans="4:7" ht="23.25" customHeight="1" x14ac:dyDescent="0.3">
      <c r="D818" s="9"/>
      <c r="G818" s="9"/>
    </row>
    <row r="819" spans="4:7" ht="23.25" customHeight="1" x14ac:dyDescent="0.3">
      <c r="D819" s="9"/>
      <c r="G819" s="9"/>
    </row>
    <row r="820" spans="4:7" ht="23.25" customHeight="1" x14ac:dyDescent="0.3">
      <c r="D820" s="9"/>
      <c r="G820" s="9"/>
    </row>
    <row r="821" spans="4:7" ht="23.25" customHeight="1" x14ac:dyDescent="0.3">
      <c r="D821" s="9"/>
      <c r="G821" s="9"/>
    </row>
    <row r="822" spans="4:7" ht="23.25" customHeight="1" x14ac:dyDescent="0.3">
      <c r="D822" s="9"/>
      <c r="G822" s="9"/>
    </row>
    <row r="823" spans="4:7" ht="23.25" customHeight="1" x14ac:dyDescent="0.3">
      <c r="D823" s="9"/>
      <c r="G823" s="9"/>
    </row>
    <row r="824" spans="4:7" ht="23.25" customHeight="1" x14ac:dyDescent="0.3">
      <c r="D824" s="9"/>
      <c r="G824" s="9"/>
    </row>
    <row r="825" spans="4:7" ht="23.25" customHeight="1" x14ac:dyDescent="0.3">
      <c r="D825" s="9"/>
      <c r="G825" s="9"/>
    </row>
    <row r="826" spans="4:7" ht="23.25" customHeight="1" x14ac:dyDescent="0.3">
      <c r="D826" s="9"/>
      <c r="G826" s="9"/>
    </row>
    <row r="827" spans="4:7" ht="23.25" customHeight="1" x14ac:dyDescent="0.3">
      <c r="D827" s="9"/>
      <c r="G827" s="9"/>
    </row>
    <row r="828" spans="4:7" ht="23.25" customHeight="1" x14ac:dyDescent="0.3">
      <c r="D828" s="9"/>
      <c r="G828" s="9"/>
    </row>
    <row r="829" spans="4:7" ht="23.25" customHeight="1" x14ac:dyDescent="0.3">
      <c r="D829" s="9"/>
      <c r="G829" s="9"/>
    </row>
    <row r="830" spans="4:7" ht="23.25" customHeight="1" x14ac:dyDescent="0.3">
      <c r="D830" s="9"/>
      <c r="G830" s="9"/>
    </row>
    <row r="831" spans="4:7" ht="23.25" customHeight="1" x14ac:dyDescent="0.3">
      <c r="D831" s="9"/>
      <c r="G831" s="9"/>
    </row>
    <row r="832" spans="4:7" ht="23.25" customHeight="1" x14ac:dyDescent="0.3">
      <c r="D832" s="9"/>
      <c r="G832" s="9"/>
    </row>
    <row r="833" spans="4:7" ht="23.25" customHeight="1" x14ac:dyDescent="0.3">
      <c r="D833" s="9"/>
      <c r="G833" s="9"/>
    </row>
    <row r="834" spans="4:7" ht="23.25" customHeight="1" x14ac:dyDescent="0.3">
      <c r="D834" s="9"/>
      <c r="G834" s="9"/>
    </row>
    <row r="835" spans="4:7" ht="23.25" customHeight="1" x14ac:dyDescent="0.3">
      <c r="D835" s="9"/>
      <c r="G835" s="9"/>
    </row>
    <row r="836" spans="4:7" ht="23.25" customHeight="1" x14ac:dyDescent="0.3">
      <c r="D836" s="9"/>
      <c r="G836" s="9"/>
    </row>
    <row r="837" spans="4:7" ht="23.25" customHeight="1" x14ac:dyDescent="0.3">
      <c r="D837" s="9"/>
      <c r="G837" s="9"/>
    </row>
    <row r="838" spans="4:7" ht="23.25" customHeight="1" x14ac:dyDescent="0.3">
      <c r="D838" s="9"/>
      <c r="G838" s="9"/>
    </row>
    <row r="839" spans="4:7" ht="23.25" customHeight="1" x14ac:dyDescent="0.3">
      <c r="D839" s="9"/>
      <c r="G839" s="9"/>
    </row>
    <row r="840" spans="4:7" ht="23.25" customHeight="1" x14ac:dyDescent="0.3">
      <c r="D840" s="9"/>
      <c r="G840" s="9"/>
    </row>
    <row r="841" spans="4:7" ht="23.25" customHeight="1" x14ac:dyDescent="0.3">
      <c r="D841" s="9"/>
      <c r="G841" s="9"/>
    </row>
    <row r="842" spans="4:7" ht="23.25" customHeight="1" x14ac:dyDescent="0.3">
      <c r="D842" s="9"/>
      <c r="G842" s="9"/>
    </row>
    <row r="843" spans="4:7" ht="23.25" customHeight="1" x14ac:dyDescent="0.3">
      <c r="D843" s="9"/>
      <c r="G843" s="9"/>
    </row>
    <row r="844" spans="4:7" ht="23.25" customHeight="1" x14ac:dyDescent="0.3">
      <c r="D844" s="9"/>
      <c r="G844" s="9"/>
    </row>
    <row r="845" spans="4:7" ht="23.25" customHeight="1" x14ac:dyDescent="0.3">
      <c r="D845" s="9"/>
      <c r="G845" s="9"/>
    </row>
    <row r="846" spans="4:7" ht="23.25" customHeight="1" x14ac:dyDescent="0.3">
      <c r="D846" s="9"/>
      <c r="G846" s="9"/>
    </row>
    <row r="847" spans="4:7" ht="23.25" customHeight="1" x14ac:dyDescent="0.3">
      <c r="D847" s="9"/>
      <c r="G847" s="9"/>
    </row>
    <row r="848" spans="4:7" ht="23.25" customHeight="1" x14ac:dyDescent="0.3">
      <c r="D848" s="9"/>
      <c r="G848" s="9"/>
    </row>
    <row r="849" spans="4:7" ht="23.25" customHeight="1" x14ac:dyDescent="0.3">
      <c r="D849" s="9"/>
      <c r="G849" s="9"/>
    </row>
    <row r="850" spans="4:7" ht="23.25" customHeight="1" x14ac:dyDescent="0.3">
      <c r="D850" s="9"/>
      <c r="G850" s="9"/>
    </row>
    <row r="851" spans="4:7" ht="23.25" customHeight="1" x14ac:dyDescent="0.3">
      <c r="D851" s="9"/>
      <c r="G851" s="9"/>
    </row>
    <row r="852" spans="4:7" ht="23.25" customHeight="1" x14ac:dyDescent="0.3">
      <c r="D852" s="9"/>
      <c r="G852" s="9"/>
    </row>
    <row r="853" spans="4:7" ht="23.25" customHeight="1" x14ac:dyDescent="0.3">
      <c r="D853" s="9"/>
      <c r="G853" s="9"/>
    </row>
    <row r="854" spans="4:7" ht="23.25" customHeight="1" x14ac:dyDescent="0.3">
      <c r="D854" s="9"/>
      <c r="G854" s="9"/>
    </row>
    <row r="855" spans="4:7" ht="23.25" customHeight="1" x14ac:dyDescent="0.3">
      <c r="D855" s="9"/>
      <c r="G855" s="9"/>
    </row>
    <row r="856" spans="4:7" ht="23.25" customHeight="1" x14ac:dyDescent="0.3">
      <c r="D856" s="9"/>
      <c r="G856" s="9"/>
    </row>
    <row r="857" spans="4:7" ht="23.25" customHeight="1" x14ac:dyDescent="0.3">
      <c r="D857" s="9"/>
      <c r="G857" s="9"/>
    </row>
    <row r="858" spans="4:7" ht="23.25" customHeight="1" x14ac:dyDescent="0.3">
      <c r="D858" s="9"/>
      <c r="G858" s="9"/>
    </row>
    <row r="859" spans="4:7" ht="23.25" customHeight="1" x14ac:dyDescent="0.3">
      <c r="D859" s="9"/>
      <c r="G859" s="9"/>
    </row>
    <row r="860" spans="4:7" ht="23.25" customHeight="1" x14ac:dyDescent="0.3">
      <c r="D860" s="9"/>
      <c r="G860" s="9"/>
    </row>
    <row r="861" spans="4:7" ht="23.25" customHeight="1" x14ac:dyDescent="0.3">
      <c r="D861" s="9"/>
      <c r="G861" s="9"/>
    </row>
    <row r="862" spans="4:7" ht="23.25" customHeight="1" x14ac:dyDescent="0.3">
      <c r="D862" s="9"/>
      <c r="G862" s="9"/>
    </row>
    <row r="863" spans="4:7" ht="23.25" customHeight="1" x14ac:dyDescent="0.3">
      <c r="D863" s="9"/>
      <c r="G863" s="9"/>
    </row>
    <row r="864" spans="4:7" ht="23.25" customHeight="1" x14ac:dyDescent="0.3">
      <c r="D864" s="9"/>
      <c r="G864" s="9"/>
    </row>
    <row r="865" spans="4:7" ht="23.25" customHeight="1" x14ac:dyDescent="0.3">
      <c r="D865" s="9"/>
      <c r="G865" s="9"/>
    </row>
    <row r="866" spans="4:7" ht="23.25" customHeight="1" x14ac:dyDescent="0.3">
      <c r="D866" s="9"/>
      <c r="G866" s="9"/>
    </row>
    <row r="867" spans="4:7" ht="23.25" customHeight="1" x14ac:dyDescent="0.3">
      <c r="D867" s="9"/>
      <c r="G867" s="9"/>
    </row>
    <row r="868" spans="4:7" ht="23.25" customHeight="1" x14ac:dyDescent="0.3">
      <c r="D868" s="9"/>
      <c r="G868" s="9"/>
    </row>
    <row r="869" spans="4:7" ht="23.25" customHeight="1" x14ac:dyDescent="0.3">
      <c r="D869" s="9"/>
      <c r="G869" s="9"/>
    </row>
    <row r="870" spans="4:7" ht="23.25" customHeight="1" x14ac:dyDescent="0.3">
      <c r="D870" s="9"/>
      <c r="G870" s="9"/>
    </row>
    <row r="871" spans="4:7" ht="23.25" customHeight="1" x14ac:dyDescent="0.3">
      <c r="D871" s="9"/>
      <c r="G871" s="9"/>
    </row>
    <row r="872" spans="4:7" ht="23.25" customHeight="1" x14ac:dyDescent="0.3">
      <c r="D872" s="9"/>
      <c r="G872" s="9"/>
    </row>
    <row r="873" spans="4:7" ht="23.25" customHeight="1" x14ac:dyDescent="0.3">
      <c r="D873" s="9"/>
      <c r="G873" s="9"/>
    </row>
    <row r="874" spans="4:7" ht="23.25" customHeight="1" x14ac:dyDescent="0.3">
      <c r="D874" s="9"/>
      <c r="G874" s="9"/>
    </row>
    <row r="875" spans="4:7" ht="23.25" customHeight="1" x14ac:dyDescent="0.3">
      <c r="D875" s="9"/>
      <c r="G875" s="9"/>
    </row>
    <row r="876" spans="4:7" ht="23.25" customHeight="1" x14ac:dyDescent="0.3">
      <c r="D876" s="9"/>
      <c r="G876" s="9"/>
    </row>
    <row r="877" spans="4:7" ht="23.25" customHeight="1" x14ac:dyDescent="0.3">
      <c r="D877" s="9"/>
      <c r="G877" s="9"/>
    </row>
    <row r="878" spans="4:7" ht="23.25" customHeight="1" x14ac:dyDescent="0.3">
      <c r="D878" s="9"/>
      <c r="G878" s="9"/>
    </row>
    <row r="879" spans="4:7" ht="23.25" customHeight="1" x14ac:dyDescent="0.3">
      <c r="D879" s="9"/>
      <c r="G879" s="9"/>
    </row>
    <row r="880" spans="4:7" ht="23.25" customHeight="1" x14ac:dyDescent="0.3">
      <c r="D880" s="9"/>
      <c r="G880" s="9"/>
    </row>
    <row r="881" spans="4:7" ht="23.25" customHeight="1" x14ac:dyDescent="0.3">
      <c r="D881" s="9"/>
      <c r="G881" s="9"/>
    </row>
    <row r="882" spans="4:7" ht="23.25" customHeight="1" x14ac:dyDescent="0.3">
      <c r="D882" s="9"/>
      <c r="G882" s="9"/>
    </row>
    <row r="883" spans="4:7" ht="23.25" customHeight="1" x14ac:dyDescent="0.3">
      <c r="D883" s="9"/>
      <c r="G883" s="9"/>
    </row>
    <row r="884" spans="4:7" ht="23.25" customHeight="1" x14ac:dyDescent="0.3">
      <c r="D884" s="9"/>
      <c r="G884" s="9"/>
    </row>
    <row r="885" spans="4:7" ht="23.25" customHeight="1" x14ac:dyDescent="0.3">
      <c r="D885" s="9"/>
      <c r="G885" s="9"/>
    </row>
    <row r="886" spans="4:7" ht="23.25" customHeight="1" x14ac:dyDescent="0.3">
      <c r="D886" s="9"/>
      <c r="G886" s="9"/>
    </row>
    <row r="887" spans="4:7" ht="23.25" customHeight="1" x14ac:dyDescent="0.3">
      <c r="D887" s="9"/>
      <c r="G887" s="9"/>
    </row>
    <row r="888" spans="4:7" ht="23.25" customHeight="1" x14ac:dyDescent="0.3">
      <c r="D888" s="9"/>
      <c r="G888" s="9"/>
    </row>
    <row r="889" spans="4:7" ht="23.25" customHeight="1" x14ac:dyDescent="0.3">
      <c r="D889" s="9"/>
      <c r="G889" s="9"/>
    </row>
    <row r="890" spans="4:7" ht="23.25" customHeight="1" x14ac:dyDescent="0.3">
      <c r="D890" s="9"/>
      <c r="G890" s="9"/>
    </row>
    <row r="891" spans="4:7" ht="23.25" customHeight="1" x14ac:dyDescent="0.3">
      <c r="D891" s="9"/>
      <c r="G891" s="9"/>
    </row>
    <row r="892" spans="4:7" ht="23.25" customHeight="1" x14ac:dyDescent="0.3">
      <c r="D892" s="9"/>
      <c r="G892" s="9"/>
    </row>
    <row r="893" spans="4:7" ht="23.25" customHeight="1" x14ac:dyDescent="0.3">
      <c r="D893" s="9"/>
      <c r="G893" s="9"/>
    </row>
    <row r="894" spans="4:7" ht="23.25" customHeight="1" x14ac:dyDescent="0.3">
      <c r="D894" s="9"/>
      <c r="G894" s="9"/>
    </row>
    <row r="895" spans="4:7" ht="23.25" customHeight="1" x14ac:dyDescent="0.3">
      <c r="D895" s="9"/>
      <c r="G895" s="9"/>
    </row>
    <row r="896" spans="4:7" ht="23.25" customHeight="1" x14ac:dyDescent="0.3">
      <c r="D896" s="9"/>
      <c r="G896" s="9"/>
    </row>
    <row r="897" spans="4:7" ht="23.25" customHeight="1" x14ac:dyDescent="0.3">
      <c r="D897" s="9"/>
      <c r="G897" s="9"/>
    </row>
    <row r="898" spans="4:7" ht="23.25" customHeight="1" x14ac:dyDescent="0.3">
      <c r="D898" s="9"/>
      <c r="G898" s="9"/>
    </row>
    <row r="899" spans="4:7" ht="23.25" customHeight="1" x14ac:dyDescent="0.3">
      <c r="D899" s="9"/>
      <c r="G899" s="9"/>
    </row>
    <row r="900" spans="4:7" ht="23.25" customHeight="1" x14ac:dyDescent="0.3">
      <c r="D900" s="9"/>
      <c r="G900" s="9"/>
    </row>
    <row r="901" spans="4:7" ht="23.25" customHeight="1" x14ac:dyDescent="0.3">
      <c r="D901" s="9"/>
      <c r="G901" s="9"/>
    </row>
    <row r="902" spans="4:7" ht="23.25" customHeight="1" x14ac:dyDescent="0.3">
      <c r="D902" s="9"/>
      <c r="G902" s="9"/>
    </row>
    <row r="903" spans="4:7" ht="23.25" customHeight="1" x14ac:dyDescent="0.3">
      <c r="D903" s="9"/>
      <c r="G903" s="9"/>
    </row>
    <row r="904" spans="4:7" ht="23.25" customHeight="1" x14ac:dyDescent="0.3">
      <c r="D904" s="9"/>
      <c r="G904" s="9"/>
    </row>
    <row r="905" spans="4:7" ht="23.25" customHeight="1" x14ac:dyDescent="0.3">
      <c r="D905" s="9"/>
      <c r="G905" s="9"/>
    </row>
    <row r="906" spans="4:7" ht="23.25" customHeight="1" x14ac:dyDescent="0.3">
      <c r="D906" s="9"/>
      <c r="G906" s="9"/>
    </row>
    <row r="907" spans="4:7" ht="23.25" customHeight="1" x14ac:dyDescent="0.3">
      <c r="D907" s="9"/>
      <c r="G907" s="9"/>
    </row>
    <row r="908" spans="4:7" ht="23.25" customHeight="1" x14ac:dyDescent="0.3">
      <c r="D908" s="9"/>
      <c r="G908" s="9"/>
    </row>
    <row r="909" spans="4:7" ht="23.25" customHeight="1" x14ac:dyDescent="0.3">
      <c r="D909" s="9"/>
      <c r="G909" s="9"/>
    </row>
    <row r="910" spans="4:7" ht="23.25" customHeight="1" x14ac:dyDescent="0.3">
      <c r="D910" s="9"/>
      <c r="G910" s="9"/>
    </row>
    <row r="911" spans="4:7" ht="23.25" customHeight="1" x14ac:dyDescent="0.3">
      <c r="D911" s="9"/>
      <c r="G911" s="9"/>
    </row>
    <row r="912" spans="4:7" ht="23.25" customHeight="1" x14ac:dyDescent="0.3">
      <c r="D912" s="9"/>
      <c r="G912" s="9"/>
    </row>
    <row r="913" spans="4:7" ht="23.25" customHeight="1" x14ac:dyDescent="0.3">
      <c r="D913" s="9"/>
      <c r="G913" s="9"/>
    </row>
    <row r="914" spans="4:7" ht="23.25" customHeight="1" x14ac:dyDescent="0.3">
      <c r="D914" s="9"/>
      <c r="G914" s="9"/>
    </row>
    <row r="915" spans="4:7" ht="23.25" customHeight="1" x14ac:dyDescent="0.3">
      <c r="D915" s="9"/>
      <c r="G915" s="9"/>
    </row>
    <row r="916" spans="4:7" ht="23.25" customHeight="1" x14ac:dyDescent="0.3">
      <c r="D916" s="9"/>
      <c r="G916" s="9"/>
    </row>
    <row r="917" spans="4:7" ht="23.25" customHeight="1" x14ac:dyDescent="0.3">
      <c r="D917" s="9"/>
      <c r="G917" s="9"/>
    </row>
    <row r="918" spans="4:7" ht="23.25" customHeight="1" x14ac:dyDescent="0.3">
      <c r="D918" s="9"/>
      <c r="G918" s="9"/>
    </row>
    <row r="919" spans="4:7" ht="23.25" customHeight="1" x14ac:dyDescent="0.3">
      <c r="D919" s="9"/>
      <c r="G919" s="9"/>
    </row>
    <row r="920" spans="4:7" ht="23.25" customHeight="1" x14ac:dyDescent="0.3">
      <c r="D920" s="9"/>
      <c r="G920" s="9"/>
    </row>
    <row r="921" spans="4:7" ht="23.25" customHeight="1" x14ac:dyDescent="0.3">
      <c r="D921" s="9"/>
      <c r="G921" s="9"/>
    </row>
    <row r="922" spans="4:7" ht="23.25" customHeight="1" x14ac:dyDescent="0.3">
      <c r="D922" s="9"/>
      <c r="G922" s="9"/>
    </row>
    <row r="923" spans="4:7" ht="23.25" customHeight="1" x14ac:dyDescent="0.3">
      <c r="D923" s="9"/>
      <c r="G923" s="9"/>
    </row>
    <row r="924" spans="4:7" ht="23.25" customHeight="1" x14ac:dyDescent="0.3">
      <c r="D924" s="9"/>
      <c r="G924" s="9"/>
    </row>
    <row r="925" spans="4:7" ht="23.25" customHeight="1" x14ac:dyDescent="0.3">
      <c r="D925" s="9"/>
      <c r="G925" s="9"/>
    </row>
    <row r="926" spans="4:7" ht="23.25" customHeight="1" x14ac:dyDescent="0.3">
      <c r="D926" s="9"/>
      <c r="G926" s="9"/>
    </row>
    <row r="927" spans="4:7" ht="23.25" customHeight="1" x14ac:dyDescent="0.3">
      <c r="D927" s="9"/>
      <c r="G927" s="9"/>
    </row>
    <row r="928" spans="4:7" ht="23.25" customHeight="1" x14ac:dyDescent="0.3">
      <c r="D928" s="9"/>
      <c r="G928" s="9"/>
    </row>
    <row r="929" spans="4:7" ht="23.25" customHeight="1" x14ac:dyDescent="0.3">
      <c r="D929" s="9"/>
      <c r="G929" s="9"/>
    </row>
    <row r="930" spans="4:7" ht="23.25" customHeight="1" x14ac:dyDescent="0.3">
      <c r="D930" s="9"/>
      <c r="G930" s="9"/>
    </row>
    <row r="931" spans="4:7" ht="23.25" customHeight="1" x14ac:dyDescent="0.3">
      <c r="D931" s="9"/>
      <c r="G931" s="9"/>
    </row>
    <row r="932" spans="4:7" ht="23.25" customHeight="1" x14ac:dyDescent="0.3">
      <c r="D932" s="9"/>
      <c r="G932" s="9"/>
    </row>
    <row r="933" spans="4:7" ht="23.25" customHeight="1" x14ac:dyDescent="0.3">
      <c r="D933" s="9"/>
      <c r="G933" s="9"/>
    </row>
    <row r="934" spans="4:7" ht="23.25" customHeight="1" x14ac:dyDescent="0.3">
      <c r="D934" s="9"/>
      <c r="G934" s="9"/>
    </row>
    <row r="935" spans="4:7" ht="23.25" customHeight="1" x14ac:dyDescent="0.3">
      <c r="D935" s="9"/>
      <c r="G935" s="9"/>
    </row>
    <row r="936" spans="4:7" ht="23.25" customHeight="1" x14ac:dyDescent="0.3">
      <c r="D936" s="9"/>
      <c r="G936" s="9"/>
    </row>
    <row r="937" spans="4:7" ht="23.25" customHeight="1" x14ac:dyDescent="0.3">
      <c r="D937" s="9"/>
      <c r="G937" s="9"/>
    </row>
    <row r="938" spans="4:7" ht="23.25" customHeight="1" x14ac:dyDescent="0.3">
      <c r="D938" s="9"/>
      <c r="G938" s="9"/>
    </row>
    <row r="939" spans="4:7" ht="23.25" customHeight="1" x14ac:dyDescent="0.3">
      <c r="D939" s="9"/>
      <c r="G939" s="9"/>
    </row>
    <row r="940" spans="4:7" ht="23.25" customHeight="1" x14ac:dyDescent="0.3">
      <c r="D940" s="9"/>
      <c r="G940" s="9"/>
    </row>
    <row r="941" spans="4:7" ht="23.25" customHeight="1" x14ac:dyDescent="0.3">
      <c r="D941" s="9"/>
      <c r="G941" s="9"/>
    </row>
    <row r="942" spans="4:7" ht="23.25" customHeight="1" x14ac:dyDescent="0.3">
      <c r="D942" s="9"/>
      <c r="G942" s="9"/>
    </row>
    <row r="943" spans="4:7" ht="23.25" customHeight="1" x14ac:dyDescent="0.3">
      <c r="D943" s="9"/>
      <c r="G943" s="9"/>
    </row>
    <row r="944" spans="4:7" ht="23.25" customHeight="1" x14ac:dyDescent="0.3">
      <c r="D944" s="9"/>
      <c r="G944" s="9"/>
    </row>
    <row r="945" spans="4:7" ht="23.25" customHeight="1" x14ac:dyDescent="0.3">
      <c r="D945" s="9"/>
      <c r="G945" s="9"/>
    </row>
    <row r="946" spans="4:7" ht="23.25" customHeight="1" x14ac:dyDescent="0.3">
      <c r="D946" s="9"/>
      <c r="G946" s="9"/>
    </row>
    <row r="947" spans="4:7" ht="23.25" customHeight="1" x14ac:dyDescent="0.3">
      <c r="D947" s="9"/>
      <c r="G947" s="9"/>
    </row>
    <row r="948" spans="4:7" ht="23.25" customHeight="1" x14ac:dyDescent="0.3">
      <c r="D948" s="9"/>
      <c r="G948" s="9"/>
    </row>
    <row r="949" spans="4:7" ht="23.25" customHeight="1" x14ac:dyDescent="0.3">
      <c r="D949" s="9"/>
      <c r="G949" s="9"/>
    </row>
    <row r="950" spans="4:7" ht="23.25" customHeight="1" x14ac:dyDescent="0.3">
      <c r="D950" s="9"/>
      <c r="G950" s="9"/>
    </row>
    <row r="951" spans="4:7" ht="23.25" customHeight="1" x14ac:dyDescent="0.3">
      <c r="D951" s="9"/>
      <c r="G951" s="9"/>
    </row>
    <row r="952" spans="4:7" ht="23.25" customHeight="1" x14ac:dyDescent="0.3">
      <c r="D952" s="9"/>
      <c r="G952" s="9"/>
    </row>
    <row r="953" spans="4:7" ht="23.25" customHeight="1" x14ac:dyDescent="0.3">
      <c r="D953" s="9"/>
      <c r="G953" s="9"/>
    </row>
    <row r="954" spans="4:7" ht="23.25" customHeight="1" x14ac:dyDescent="0.3">
      <c r="D954" s="9"/>
      <c r="G954" s="9"/>
    </row>
    <row r="955" spans="4:7" ht="23.25" customHeight="1" x14ac:dyDescent="0.3">
      <c r="D955" s="9"/>
      <c r="G955" s="9"/>
    </row>
    <row r="956" spans="4:7" ht="23.25" customHeight="1" x14ac:dyDescent="0.3">
      <c r="D956" s="9"/>
      <c r="G956" s="9"/>
    </row>
    <row r="957" spans="4:7" ht="23.25" customHeight="1" x14ac:dyDescent="0.3">
      <c r="D957" s="9"/>
      <c r="G957" s="9"/>
    </row>
    <row r="958" spans="4:7" ht="23.25" customHeight="1" x14ac:dyDescent="0.3">
      <c r="D958" s="9"/>
      <c r="G958" s="9"/>
    </row>
    <row r="959" spans="4:7" ht="23.25" customHeight="1" x14ac:dyDescent="0.3">
      <c r="D959" s="9"/>
      <c r="G959" s="9"/>
    </row>
    <row r="960" spans="4:7" ht="23.25" customHeight="1" x14ac:dyDescent="0.3">
      <c r="D960" s="9"/>
      <c r="G960" s="9"/>
    </row>
    <row r="961" spans="4:7" ht="23.25" customHeight="1" x14ac:dyDescent="0.3">
      <c r="D961" s="9"/>
      <c r="G961" s="9"/>
    </row>
    <row r="962" spans="4:7" ht="23.25" customHeight="1" x14ac:dyDescent="0.3">
      <c r="D962" s="9"/>
      <c r="G962" s="9"/>
    </row>
    <row r="963" spans="4:7" ht="23.25" customHeight="1" x14ac:dyDescent="0.3">
      <c r="D963" s="9"/>
      <c r="G963" s="9"/>
    </row>
    <row r="964" spans="4:7" ht="23.25" customHeight="1" x14ac:dyDescent="0.3">
      <c r="D964" s="9"/>
      <c r="G964" s="9"/>
    </row>
    <row r="965" spans="4:7" ht="23.25" customHeight="1" x14ac:dyDescent="0.3">
      <c r="D965" s="9"/>
      <c r="G965" s="9"/>
    </row>
    <row r="966" spans="4:7" ht="23.25" customHeight="1" x14ac:dyDescent="0.3">
      <c r="D966" s="9"/>
      <c r="G966" s="9"/>
    </row>
    <row r="967" spans="4:7" ht="23.25" customHeight="1" x14ac:dyDescent="0.3">
      <c r="D967" s="9"/>
      <c r="G967" s="9"/>
    </row>
    <row r="968" spans="4:7" ht="23.25" customHeight="1" x14ac:dyDescent="0.3">
      <c r="D968" s="9"/>
      <c r="G968" s="9"/>
    </row>
    <row r="969" spans="4:7" ht="23.25" customHeight="1" x14ac:dyDescent="0.3">
      <c r="D969" s="9"/>
      <c r="G969" s="9"/>
    </row>
    <row r="970" spans="4:7" ht="23.25" customHeight="1" x14ac:dyDescent="0.3">
      <c r="D970" s="9"/>
      <c r="G970" s="9"/>
    </row>
    <row r="971" spans="4:7" ht="23.25" customHeight="1" x14ac:dyDescent="0.3">
      <c r="D971" s="9"/>
      <c r="G971" s="9"/>
    </row>
    <row r="972" spans="4:7" ht="23.25" customHeight="1" x14ac:dyDescent="0.3">
      <c r="D972" s="9"/>
      <c r="G972" s="9"/>
    </row>
    <row r="973" spans="4:7" ht="23.25" customHeight="1" x14ac:dyDescent="0.3">
      <c r="D973" s="9"/>
      <c r="G973" s="9"/>
    </row>
    <row r="974" spans="4:7" ht="23.25" customHeight="1" x14ac:dyDescent="0.3">
      <c r="D974" s="9"/>
      <c r="G974" s="9"/>
    </row>
    <row r="975" spans="4:7" ht="23.25" customHeight="1" x14ac:dyDescent="0.3">
      <c r="D975" s="9"/>
      <c r="G975" s="9"/>
    </row>
    <row r="976" spans="4:7" ht="23.25" customHeight="1" x14ac:dyDescent="0.3">
      <c r="D976" s="9"/>
      <c r="G976" s="9"/>
    </row>
    <row r="977" spans="4:7" ht="23.25" customHeight="1" x14ac:dyDescent="0.3">
      <c r="D977" s="9"/>
      <c r="G977" s="9"/>
    </row>
    <row r="978" spans="4:7" ht="23.25" customHeight="1" x14ac:dyDescent="0.3">
      <c r="D978" s="9"/>
      <c r="G978" s="9"/>
    </row>
    <row r="979" spans="4:7" ht="23.25" customHeight="1" x14ac:dyDescent="0.3">
      <c r="D979" s="9"/>
      <c r="G979" s="9"/>
    </row>
    <row r="980" spans="4:7" ht="23.25" customHeight="1" x14ac:dyDescent="0.3">
      <c r="D980" s="9"/>
      <c r="G980" s="9"/>
    </row>
    <row r="981" spans="4:7" ht="23.25" customHeight="1" x14ac:dyDescent="0.3">
      <c r="D981" s="9"/>
      <c r="G981" s="9"/>
    </row>
    <row r="982" spans="4:7" ht="23.25" customHeight="1" x14ac:dyDescent="0.3">
      <c r="D982" s="9"/>
      <c r="G982" s="9"/>
    </row>
    <row r="983" spans="4:7" ht="23.25" customHeight="1" x14ac:dyDescent="0.3">
      <c r="D983" s="9"/>
      <c r="G983" s="9"/>
    </row>
    <row r="984" spans="4:7" ht="23.25" customHeight="1" x14ac:dyDescent="0.3">
      <c r="D984" s="9"/>
      <c r="G984" s="9"/>
    </row>
    <row r="985" spans="4:7" ht="23.25" customHeight="1" x14ac:dyDescent="0.3">
      <c r="D985" s="9"/>
      <c r="G985" s="9"/>
    </row>
    <row r="986" spans="4:7" ht="23.25" customHeight="1" x14ac:dyDescent="0.3">
      <c r="D986" s="9"/>
      <c r="G986" s="9"/>
    </row>
    <row r="987" spans="4:7" ht="23.25" customHeight="1" x14ac:dyDescent="0.3">
      <c r="D987" s="9"/>
      <c r="G987" s="9"/>
    </row>
    <row r="988" spans="4:7" ht="23.25" customHeight="1" x14ac:dyDescent="0.3">
      <c r="D988" s="9"/>
      <c r="G988" s="9"/>
    </row>
    <row r="989" spans="4:7" ht="23.25" customHeight="1" x14ac:dyDescent="0.3">
      <c r="D989" s="9"/>
      <c r="G989" s="9"/>
    </row>
    <row r="990" spans="4:7" ht="23.25" customHeight="1" x14ac:dyDescent="0.3">
      <c r="D990" s="9"/>
      <c r="G990" s="9"/>
    </row>
    <row r="991" spans="4:7" ht="23.25" customHeight="1" x14ac:dyDescent="0.3">
      <c r="D991" s="9"/>
      <c r="G991" s="9"/>
    </row>
    <row r="992" spans="4:7" ht="23.25" customHeight="1" x14ac:dyDescent="0.3">
      <c r="D992" s="9"/>
      <c r="G992" s="9"/>
    </row>
    <row r="993" spans="4:7" ht="23.25" customHeight="1" x14ac:dyDescent="0.3">
      <c r="D993" s="9"/>
      <c r="G993" s="9"/>
    </row>
    <row r="994" spans="4:7" ht="23.25" customHeight="1" x14ac:dyDescent="0.3">
      <c r="D994" s="9"/>
      <c r="G994" s="9"/>
    </row>
    <row r="995" spans="4:7" ht="23.25" customHeight="1" x14ac:dyDescent="0.3">
      <c r="D995" s="9"/>
      <c r="G995" s="9"/>
    </row>
    <row r="996" spans="4:7" ht="23.25" customHeight="1" x14ac:dyDescent="0.3">
      <c r="D996" s="9"/>
      <c r="G996" s="9"/>
    </row>
    <row r="997" spans="4:7" ht="23.25" customHeight="1" x14ac:dyDescent="0.3">
      <c r="D997" s="9"/>
      <c r="G997" s="9"/>
    </row>
    <row r="998" spans="4:7" ht="23.25" customHeight="1" x14ac:dyDescent="0.3">
      <c r="D998" s="9"/>
      <c r="G998" s="9"/>
    </row>
    <row r="999" spans="4:7" ht="23.25" customHeight="1" x14ac:dyDescent="0.3">
      <c r="D999" s="9"/>
      <c r="G999" s="9"/>
    </row>
    <row r="1000" spans="4:7" ht="23.25" customHeight="1" x14ac:dyDescent="0.3">
      <c r="D1000" s="9"/>
      <c r="G1000" s="9"/>
    </row>
  </sheetData>
  <printOptions horizontalCentered="1" verticalCentered="1"/>
  <pageMargins left="0.23622047244094491" right="0.23622047244094491" top="0.19685039370078741" bottom="0.19685039370078741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Porta Guilhotina</vt:lpstr>
      <vt:lpstr>Em 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2025-04-08T13:36:33Z</dcterms:created>
  <dcterms:modified xsi:type="dcterms:W3CDTF">2025-08-28T16:34:47Z</dcterms:modified>
</cp:coreProperties>
</file>